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connectqutedu-my.sharepoint.com/personal/n11976233_qut_edu_au/Documents/MS/BOMS_STANDARD/"/>
    </mc:Choice>
  </mc:AlternateContent>
  <xr:revisionPtr revIDLastSave="1" documentId="11_B1DD963598B7ED961C4FA2BEA15AEF90974B9B07" xr6:coauthVersionLast="47" xr6:coauthVersionMax="47" xr10:uidLastSave="{EE018484-8B41-419E-9776-FCFDE69385B3}"/>
  <bookViews>
    <workbookView xWindow="38280" yWindow="-120" windowWidth="38640" windowHeight="21120" activeTab="1" xr2:uid="{00000000-000D-0000-FFFF-FFFF00000000}"/>
  </bookViews>
  <sheets>
    <sheet name="Master Component List" sheetId="1" r:id="rId1"/>
    <sheet name="Board Summary" sheetId="3" r:id="rId2"/>
    <sheet name="Raw Data" sheetId="2" r:id="rId3"/>
  </sheets>
  <definedNames>
    <definedName name="_xlnm._FilterDatabase" localSheetId="1" hidden="1">'Board Summary'!$A$2:$N$14</definedName>
    <definedName name="_xlnm._FilterDatabase" localSheetId="0" hidden="1">'Master Component List'!$A$1:$R$197</definedName>
    <definedName name="_xlnm._FilterDatabase" localSheetId="2" hidden="1">'Raw Data'!$A$1:$G$370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0" i="2" l="1"/>
  <c r="B370" i="2"/>
  <c r="D369" i="2"/>
  <c r="B369" i="2"/>
  <c r="D368" i="2"/>
  <c r="B368" i="2"/>
  <c r="D367" i="2"/>
  <c r="B367" i="2"/>
  <c r="D366" i="2"/>
  <c r="B366" i="2"/>
  <c r="D365" i="2"/>
  <c r="B365" i="2"/>
  <c r="D364" i="2"/>
  <c r="B364" i="2"/>
  <c r="D363" i="2"/>
  <c r="B363" i="2"/>
  <c r="D362" i="2"/>
  <c r="B362" i="2"/>
  <c r="D361" i="2"/>
  <c r="B361" i="2"/>
  <c r="D360" i="2"/>
  <c r="B360" i="2"/>
  <c r="D359" i="2"/>
  <c r="B359" i="2"/>
  <c r="D358" i="2"/>
  <c r="B358" i="2"/>
  <c r="D357" i="2"/>
  <c r="B357" i="2"/>
  <c r="D356" i="2"/>
  <c r="B356" i="2"/>
  <c r="D355" i="2"/>
  <c r="B355" i="2"/>
  <c r="D354" i="2"/>
  <c r="B354" i="2"/>
  <c r="D353" i="2"/>
  <c r="B353" i="2"/>
  <c r="D352" i="2"/>
  <c r="B352" i="2"/>
  <c r="D351" i="2"/>
  <c r="B351" i="2"/>
  <c r="D350" i="2"/>
  <c r="B350" i="2"/>
  <c r="D349" i="2"/>
  <c r="B349" i="2"/>
  <c r="D348" i="2"/>
  <c r="B348" i="2"/>
  <c r="D347" i="2"/>
  <c r="B347" i="2"/>
  <c r="D346" i="2"/>
  <c r="B346" i="2"/>
  <c r="D345" i="2"/>
  <c r="B345" i="2"/>
  <c r="D344" i="2"/>
  <c r="B344" i="2"/>
  <c r="D343" i="2"/>
  <c r="B343" i="2"/>
  <c r="D342" i="2"/>
  <c r="B342" i="2"/>
  <c r="D341" i="2"/>
  <c r="B341" i="2"/>
  <c r="D340" i="2"/>
  <c r="B340" i="2"/>
  <c r="D339" i="2"/>
  <c r="B339" i="2"/>
  <c r="D338" i="2"/>
  <c r="B338" i="2"/>
  <c r="D337" i="2"/>
  <c r="B337" i="2"/>
  <c r="D336" i="2"/>
  <c r="B336" i="2"/>
  <c r="D335" i="2"/>
  <c r="B335" i="2"/>
  <c r="D334" i="2"/>
  <c r="B334" i="2"/>
  <c r="D333" i="2"/>
  <c r="B333" i="2"/>
  <c r="D332" i="2"/>
  <c r="B332" i="2"/>
  <c r="D331" i="2"/>
  <c r="B331" i="2"/>
  <c r="D330" i="2"/>
  <c r="B330" i="2"/>
  <c r="D329" i="2"/>
  <c r="B329" i="2"/>
  <c r="D328" i="2"/>
  <c r="B328" i="2"/>
  <c r="D327" i="2"/>
  <c r="B327" i="2"/>
  <c r="D326" i="2"/>
  <c r="B326" i="2"/>
  <c r="D325" i="2"/>
  <c r="B325" i="2"/>
  <c r="D324" i="2"/>
  <c r="B324" i="2"/>
  <c r="D323" i="2"/>
  <c r="B323" i="2"/>
  <c r="D322" i="2"/>
  <c r="B322" i="2"/>
  <c r="D321" i="2"/>
  <c r="B321" i="2"/>
  <c r="D320" i="2"/>
  <c r="B320" i="2"/>
  <c r="D319" i="2"/>
  <c r="B319" i="2"/>
  <c r="D318" i="2"/>
  <c r="B318" i="2"/>
  <c r="D317" i="2"/>
  <c r="B317" i="2"/>
  <c r="D316" i="2"/>
  <c r="B316" i="2"/>
  <c r="D315" i="2"/>
  <c r="B315" i="2"/>
  <c r="D314" i="2"/>
  <c r="B314" i="2"/>
  <c r="D313" i="2"/>
  <c r="B313" i="2"/>
  <c r="D312" i="2"/>
  <c r="B312" i="2"/>
  <c r="D311" i="2"/>
  <c r="B311" i="2"/>
  <c r="D310" i="2"/>
  <c r="B310" i="2"/>
  <c r="D309" i="2"/>
  <c r="B309" i="2"/>
  <c r="D308" i="2"/>
  <c r="B308" i="2"/>
  <c r="D307" i="2"/>
  <c r="B307" i="2"/>
  <c r="D306" i="2"/>
  <c r="B306" i="2"/>
  <c r="D305" i="2"/>
  <c r="B305" i="2"/>
  <c r="D304" i="2"/>
  <c r="B304" i="2"/>
  <c r="D303" i="2"/>
  <c r="B303" i="2"/>
  <c r="D302" i="2"/>
  <c r="B302" i="2"/>
  <c r="D301" i="2"/>
  <c r="B301" i="2"/>
  <c r="D300" i="2"/>
  <c r="B300" i="2"/>
  <c r="D299" i="2"/>
  <c r="B299" i="2"/>
  <c r="D298" i="2"/>
  <c r="B298" i="2"/>
  <c r="D297" i="2"/>
  <c r="B297" i="2"/>
  <c r="D296" i="2"/>
  <c r="B296" i="2"/>
  <c r="D295" i="2"/>
  <c r="B295" i="2"/>
  <c r="D294" i="2"/>
  <c r="B294" i="2"/>
  <c r="D293" i="2"/>
  <c r="B293" i="2"/>
  <c r="D292" i="2"/>
  <c r="B292" i="2"/>
  <c r="D291" i="2"/>
  <c r="B291" i="2"/>
  <c r="D290" i="2"/>
  <c r="B290" i="2"/>
  <c r="D289" i="2"/>
  <c r="B289" i="2"/>
  <c r="D288" i="2"/>
  <c r="B288" i="2"/>
  <c r="D287" i="2"/>
  <c r="B287" i="2"/>
  <c r="D286" i="2"/>
  <c r="B286" i="2"/>
  <c r="D285" i="2"/>
  <c r="B285" i="2"/>
  <c r="D284" i="2"/>
  <c r="B284" i="2"/>
  <c r="D283" i="2"/>
  <c r="B283" i="2"/>
  <c r="D282" i="2"/>
  <c r="B282" i="2"/>
  <c r="D281" i="2"/>
  <c r="B281" i="2"/>
  <c r="D280" i="2"/>
  <c r="B280" i="2"/>
  <c r="D279" i="2"/>
  <c r="B279" i="2"/>
  <c r="D278" i="2"/>
  <c r="B278" i="2"/>
  <c r="D277" i="2"/>
  <c r="B277" i="2"/>
  <c r="D276" i="2"/>
  <c r="B276" i="2"/>
  <c r="D275" i="2"/>
  <c r="B275" i="2"/>
  <c r="D274" i="2"/>
  <c r="B274" i="2"/>
  <c r="D273" i="2"/>
  <c r="B273" i="2"/>
  <c r="D272" i="2"/>
  <c r="B272" i="2"/>
  <c r="D271" i="2"/>
  <c r="B271" i="2"/>
  <c r="D270" i="2"/>
  <c r="B270" i="2"/>
  <c r="D269" i="2"/>
  <c r="B269" i="2"/>
  <c r="D268" i="2"/>
  <c r="B268" i="2"/>
  <c r="D267" i="2"/>
  <c r="B267" i="2"/>
  <c r="D266" i="2"/>
  <c r="B266" i="2"/>
  <c r="D265" i="2"/>
  <c r="B265" i="2"/>
  <c r="D264" i="2"/>
  <c r="B264" i="2"/>
  <c r="D263" i="2"/>
  <c r="B263" i="2"/>
  <c r="D262" i="2"/>
  <c r="B262" i="2"/>
  <c r="D261" i="2"/>
  <c r="B261" i="2"/>
  <c r="D260" i="2"/>
  <c r="B260" i="2"/>
  <c r="D259" i="2"/>
  <c r="B259" i="2"/>
  <c r="D258" i="2"/>
  <c r="B258" i="2"/>
  <c r="D257" i="2"/>
  <c r="B257" i="2"/>
  <c r="D256" i="2"/>
  <c r="B256" i="2"/>
  <c r="D255" i="2"/>
  <c r="B255" i="2"/>
  <c r="D254" i="2"/>
  <c r="B254" i="2"/>
  <c r="D253" i="2"/>
  <c r="B253" i="2"/>
  <c r="D252" i="2"/>
  <c r="B252" i="2"/>
  <c r="D251" i="2"/>
  <c r="B251" i="2"/>
  <c r="D250" i="2"/>
  <c r="B250" i="2"/>
  <c r="D249" i="2"/>
  <c r="B249" i="2"/>
  <c r="D248" i="2"/>
  <c r="B248" i="2"/>
  <c r="D247" i="2"/>
  <c r="B247" i="2"/>
  <c r="D246" i="2"/>
  <c r="B246" i="2"/>
  <c r="D245" i="2"/>
  <c r="B245" i="2"/>
  <c r="D244" i="2"/>
  <c r="B244" i="2"/>
  <c r="D243" i="2"/>
  <c r="B243" i="2"/>
  <c r="D242" i="2"/>
  <c r="B242" i="2"/>
  <c r="D241" i="2"/>
  <c r="B241" i="2"/>
  <c r="D240" i="2"/>
  <c r="B240" i="2"/>
  <c r="D239" i="2"/>
  <c r="B239" i="2"/>
  <c r="D238" i="2"/>
  <c r="B238" i="2"/>
  <c r="D237" i="2"/>
  <c r="B237" i="2"/>
  <c r="D236" i="2"/>
  <c r="B236" i="2"/>
  <c r="D235" i="2"/>
  <c r="B235" i="2"/>
  <c r="D234" i="2"/>
  <c r="B234" i="2"/>
  <c r="D233" i="2"/>
  <c r="B233" i="2"/>
  <c r="D232" i="2"/>
  <c r="B232" i="2"/>
  <c r="D231" i="2"/>
  <c r="B231" i="2"/>
  <c r="D230" i="2"/>
  <c r="B230" i="2"/>
  <c r="D229" i="2"/>
  <c r="B229" i="2"/>
  <c r="D228" i="2"/>
  <c r="B228" i="2"/>
  <c r="D227" i="2"/>
  <c r="B227" i="2"/>
  <c r="D226" i="2"/>
  <c r="B226" i="2"/>
  <c r="D225" i="2"/>
  <c r="B225" i="2"/>
  <c r="D224" i="2"/>
  <c r="B224" i="2"/>
  <c r="D223" i="2"/>
  <c r="B223" i="2"/>
  <c r="D222" i="2"/>
  <c r="B222" i="2"/>
  <c r="D221" i="2"/>
  <c r="B221" i="2"/>
  <c r="D220" i="2"/>
  <c r="B220" i="2"/>
  <c r="D219" i="2"/>
  <c r="B219" i="2"/>
  <c r="D218" i="2"/>
  <c r="B218" i="2"/>
  <c r="D217" i="2"/>
  <c r="B217" i="2"/>
  <c r="D216" i="2"/>
  <c r="B216" i="2"/>
  <c r="D215" i="2"/>
  <c r="B215" i="2"/>
  <c r="D214" i="2"/>
  <c r="B214" i="2"/>
  <c r="D213" i="2"/>
  <c r="B213" i="2"/>
  <c r="D212" i="2"/>
  <c r="B212" i="2"/>
  <c r="D211" i="2"/>
  <c r="B211" i="2"/>
  <c r="D210" i="2"/>
  <c r="B210" i="2"/>
  <c r="D209" i="2"/>
  <c r="B209" i="2"/>
  <c r="D208" i="2"/>
  <c r="B208" i="2"/>
  <c r="D207" i="2"/>
  <c r="B207" i="2"/>
  <c r="D206" i="2"/>
  <c r="B206" i="2"/>
  <c r="D205" i="2"/>
  <c r="B205" i="2"/>
  <c r="D204" i="2"/>
  <c r="B204" i="2"/>
  <c r="D203" i="2"/>
  <c r="B203" i="2"/>
  <c r="D202" i="2"/>
  <c r="B202" i="2"/>
  <c r="D201" i="2"/>
  <c r="B201" i="2"/>
  <c r="D200" i="2"/>
  <c r="B200" i="2"/>
  <c r="D199" i="2"/>
  <c r="B199" i="2"/>
  <c r="D198" i="2"/>
  <c r="B198" i="2"/>
  <c r="D197" i="2"/>
  <c r="B197" i="2"/>
  <c r="D196" i="2"/>
  <c r="B196" i="2"/>
  <c r="D195" i="2"/>
  <c r="B195" i="2"/>
  <c r="D194" i="2"/>
  <c r="B194" i="2"/>
  <c r="D193" i="2"/>
  <c r="B193" i="2"/>
  <c r="D192" i="2"/>
  <c r="B192" i="2"/>
  <c r="D191" i="2"/>
  <c r="B191" i="2"/>
  <c r="D190" i="2"/>
  <c r="B190" i="2"/>
  <c r="D189" i="2"/>
  <c r="B189" i="2"/>
  <c r="D188" i="2"/>
  <c r="B188" i="2"/>
  <c r="D187" i="2"/>
  <c r="B187" i="2"/>
  <c r="D186" i="2"/>
  <c r="B186" i="2"/>
  <c r="D185" i="2"/>
  <c r="B185" i="2"/>
  <c r="D184" i="2"/>
  <c r="B184" i="2"/>
  <c r="D183" i="2"/>
  <c r="B183" i="2"/>
  <c r="D182" i="2"/>
  <c r="B182" i="2"/>
  <c r="D181" i="2"/>
  <c r="B181" i="2"/>
  <c r="D180" i="2"/>
  <c r="B180" i="2"/>
  <c r="D179" i="2"/>
  <c r="B179" i="2"/>
  <c r="D178" i="2"/>
  <c r="B178" i="2"/>
  <c r="D177" i="2"/>
  <c r="B177" i="2"/>
  <c r="D176" i="2"/>
  <c r="B176" i="2"/>
  <c r="D175" i="2"/>
  <c r="B175" i="2"/>
  <c r="D174" i="2"/>
  <c r="B174" i="2"/>
  <c r="D173" i="2"/>
  <c r="B173" i="2"/>
  <c r="D172" i="2"/>
  <c r="B172" i="2"/>
  <c r="D171" i="2"/>
  <c r="B171" i="2"/>
  <c r="D170" i="2"/>
  <c r="B170" i="2"/>
  <c r="D169" i="2"/>
  <c r="B169" i="2"/>
  <c r="D168" i="2"/>
  <c r="B168" i="2"/>
  <c r="D167" i="2"/>
  <c r="B167" i="2"/>
  <c r="D166" i="2"/>
  <c r="B166" i="2"/>
  <c r="D165" i="2"/>
  <c r="B165" i="2"/>
  <c r="D164" i="2"/>
  <c r="B164" i="2"/>
  <c r="D163" i="2"/>
  <c r="B163" i="2"/>
  <c r="D162" i="2"/>
  <c r="B162" i="2"/>
  <c r="D161" i="2"/>
  <c r="B161" i="2"/>
  <c r="D160" i="2"/>
  <c r="B160" i="2"/>
  <c r="D159" i="2"/>
  <c r="B159" i="2"/>
  <c r="D158" i="2"/>
  <c r="B158" i="2"/>
  <c r="D157" i="2"/>
  <c r="B157" i="2"/>
  <c r="D156" i="2"/>
  <c r="B156" i="2"/>
  <c r="D155" i="2"/>
  <c r="B155" i="2"/>
  <c r="D154" i="2"/>
  <c r="B154" i="2"/>
  <c r="D153" i="2"/>
  <c r="B153" i="2"/>
  <c r="D152" i="2"/>
  <c r="B152" i="2"/>
  <c r="D151" i="2"/>
  <c r="B151" i="2"/>
  <c r="D150" i="2"/>
  <c r="B150" i="2"/>
  <c r="D149" i="2"/>
  <c r="B149" i="2"/>
  <c r="D148" i="2"/>
  <c r="B148" i="2"/>
  <c r="D147" i="2"/>
  <c r="B147" i="2"/>
  <c r="D146" i="2"/>
  <c r="B146" i="2"/>
  <c r="D145" i="2"/>
  <c r="B145" i="2"/>
  <c r="D144" i="2"/>
  <c r="B144" i="2"/>
  <c r="D143" i="2"/>
  <c r="B143" i="2"/>
  <c r="D142" i="2"/>
  <c r="B142" i="2"/>
  <c r="D141" i="2"/>
  <c r="B141" i="2"/>
  <c r="D140" i="2"/>
  <c r="B140" i="2"/>
  <c r="D139" i="2"/>
  <c r="B139" i="2"/>
  <c r="D138" i="2"/>
  <c r="B138" i="2"/>
  <c r="D137" i="2"/>
  <c r="B137" i="2"/>
  <c r="D136" i="2"/>
  <c r="B136" i="2"/>
  <c r="D135" i="2"/>
  <c r="B135" i="2"/>
  <c r="D134" i="2"/>
  <c r="B134" i="2"/>
  <c r="D133" i="2"/>
  <c r="B133" i="2"/>
  <c r="D132" i="2"/>
  <c r="B132" i="2"/>
  <c r="D131" i="2"/>
  <c r="B131" i="2"/>
  <c r="D130" i="2"/>
  <c r="B130" i="2"/>
  <c r="D129" i="2"/>
  <c r="B129" i="2"/>
  <c r="D128" i="2"/>
  <c r="B128" i="2"/>
  <c r="D127" i="2"/>
  <c r="B127" i="2"/>
  <c r="D126" i="2"/>
  <c r="B126" i="2"/>
  <c r="D125" i="2"/>
  <c r="B125" i="2"/>
  <c r="D124" i="2"/>
  <c r="B124" i="2"/>
  <c r="D123" i="2"/>
  <c r="B123" i="2"/>
  <c r="D122" i="2"/>
  <c r="B122" i="2"/>
  <c r="D121" i="2"/>
  <c r="B121" i="2"/>
  <c r="D120" i="2"/>
  <c r="B120" i="2"/>
  <c r="D119" i="2"/>
  <c r="B119" i="2"/>
  <c r="D118" i="2"/>
  <c r="B118" i="2"/>
  <c r="D117" i="2"/>
  <c r="B117" i="2"/>
  <c r="D116" i="2"/>
  <c r="B116" i="2"/>
  <c r="D115" i="2"/>
  <c r="B115" i="2"/>
  <c r="D114" i="2"/>
  <c r="B114" i="2"/>
  <c r="D113" i="2"/>
  <c r="B113" i="2"/>
  <c r="D112" i="2"/>
  <c r="B112" i="2"/>
  <c r="D111" i="2"/>
  <c r="B111" i="2"/>
  <c r="D110" i="2"/>
  <c r="B110" i="2"/>
  <c r="D109" i="2"/>
  <c r="B109" i="2"/>
  <c r="D108" i="2"/>
  <c r="B108" i="2"/>
  <c r="D107" i="2"/>
  <c r="B107" i="2"/>
  <c r="D106" i="2"/>
  <c r="B106" i="2"/>
  <c r="D105" i="2"/>
  <c r="B105" i="2"/>
  <c r="D104" i="2"/>
  <c r="B104" i="2"/>
  <c r="D103" i="2"/>
  <c r="B103" i="2"/>
  <c r="D102" i="2"/>
  <c r="B102" i="2"/>
  <c r="D101" i="2"/>
  <c r="B101" i="2"/>
  <c r="D100" i="2"/>
  <c r="B100" i="2"/>
  <c r="D99" i="2"/>
  <c r="B99" i="2"/>
  <c r="D98" i="2"/>
  <c r="B98" i="2"/>
  <c r="D97" i="2"/>
  <c r="B97" i="2"/>
  <c r="D96" i="2"/>
  <c r="B96" i="2"/>
  <c r="D95" i="2"/>
  <c r="B95" i="2"/>
  <c r="D94" i="2"/>
  <c r="B94" i="2"/>
  <c r="D93" i="2"/>
  <c r="B93" i="2"/>
  <c r="D92" i="2"/>
  <c r="B92" i="2"/>
  <c r="D91" i="2"/>
  <c r="B91" i="2"/>
  <c r="D90" i="2"/>
  <c r="B90" i="2"/>
  <c r="D89" i="2"/>
  <c r="B89" i="2"/>
  <c r="D88" i="2"/>
  <c r="B88" i="2"/>
  <c r="D87" i="2"/>
  <c r="B87" i="2"/>
  <c r="D86" i="2"/>
  <c r="B86" i="2"/>
  <c r="D85" i="2"/>
  <c r="B85" i="2"/>
  <c r="D84" i="2"/>
  <c r="B84" i="2"/>
  <c r="D83" i="2"/>
  <c r="B83" i="2"/>
  <c r="D82" i="2"/>
  <c r="B82" i="2"/>
  <c r="D81" i="2"/>
  <c r="B81" i="2"/>
  <c r="D80" i="2"/>
  <c r="B80" i="2"/>
  <c r="D79" i="2"/>
  <c r="B79" i="2"/>
  <c r="D78" i="2"/>
  <c r="B78" i="2"/>
  <c r="D77" i="2"/>
  <c r="B77" i="2"/>
  <c r="D76" i="2"/>
  <c r="B76" i="2"/>
  <c r="D75" i="2"/>
  <c r="B75" i="2"/>
  <c r="D74" i="2"/>
  <c r="B74" i="2"/>
  <c r="D73" i="2"/>
  <c r="B73" i="2"/>
  <c r="D72" i="2"/>
  <c r="B72" i="2"/>
  <c r="D71" i="2"/>
  <c r="B71" i="2"/>
  <c r="D70" i="2"/>
  <c r="B70" i="2"/>
  <c r="D69" i="2"/>
  <c r="B69" i="2"/>
  <c r="D68" i="2"/>
  <c r="B68" i="2"/>
  <c r="D67" i="2"/>
  <c r="B67" i="2"/>
  <c r="D66" i="2"/>
  <c r="B66" i="2"/>
  <c r="D65" i="2"/>
  <c r="B65" i="2"/>
  <c r="D64" i="2"/>
  <c r="B64" i="2"/>
  <c r="D63" i="2"/>
  <c r="B63" i="2"/>
  <c r="D62" i="2"/>
  <c r="B62" i="2"/>
  <c r="D61" i="2"/>
  <c r="B61" i="2"/>
  <c r="D60" i="2"/>
  <c r="B60" i="2"/>
  <c r="D59" i="2"/>
  <c r="B59" i="2"/>
  <c r="D58" i="2"/>
  <c r="B58" i="2"/>
  <c r="D57" i="2"/>
  <c r="B57" i="2"/>
  <c r="D56" i="2"/>
  <c r="B56" i="2"/>
  <c r="D55" i="2"/>
  <c r="B55" i="2"/>
  <c r="D54" i="2"/>
  <c r="B54" i="2"/>
  <c r="D53" i="2"/>
  <c r="B53" i="2"/>
  <c r="D52" i="2"/>
  <c r="B52" i="2"/>
  <c r="D51" i="2"/>
  <c r="B51" i="2"/>
  <c r="D50" i="2"/>
  <c r="B50" i="2"/>
  <c r="D49" i="2"/>
  <c r="B49" i="2"/>
  <c r="D48" i="2"/>
  <c r="B48" i="2"/>
  <c r="D47" i="2"/>
  <c r="B47" i="2"/>
  <c r="D46" i="2"/>
  <c r="B46" i="2"/>
  <c r="D45" i="2"/>
  <c r="B45" i="2"/>
  <c r="D44" i="2"/>
  <c r="B44" i="2"/>
  <c r="D43" i="2"/>
  <c r="B43" i="2"/>
  <c r="D42" i="2"/>
  <c r="B42" i="2"/>
  <c r="D41" i="2"/>
  <c r="B41" i="2"/>
  <c r="D40" i="2"/>
  <c r="B40" i="2"/>
  <c r="D39" i="2"/>
  <c r="B39" i="2"/>
  <c r="D38" i="2"/>
  <c r="B38" i="2"/>
  <c r="D37" i="2"/>
  <c r="B37" i="2"/>
  <c r="D36" i="2"/>
  <c r="B36" i="2"/>
  <c r="D35" i="2"/>
  <c r="B35" i="2"/>
  <c r="D34" i="2"/>
  <c r="B34" i="2"/>
  <c r="D33" i="2"/>
  <c r="B33" i="2"/>
  <c r="D32" i="2"/>
  <c r="B32" i="2"/>
  <c r="D31" i="2"/>
  <c r="B31" i="2"/>
  <c r="D30" i="2"/>
  <c r="B30" i="2"/>
  <c r="D29" i="2"/>
  <c r="B29" i="2"/>
  <c r="D28" i="2"/>
  <c r="B28" i="2"/>
  <c r="D27" i="2"/>
  <c r="B27" i="2"/>
  <c r="D26" i="2"/>
  <c r="B26" i="2"/>
  <c r="D25" i="2"/>
  <c r="B25" i="2"/>
  <c r="D24" i="2"/>
  <c r="B24" i="2"/>
  <c r="D23" i="2"/>
  <c r="B23" i="2"/>
  <c r="D22" i="2"/>
  <c r="B22" i="2"/>
  <c r="D21" i="2"/>
  <c r="B21" i="2"/>
  <c r="D20" i="2"/>
  <c r="B20" i="2"/>
  <c r="D19" i="2"/>
  <c r="B19" i="2"/>
  <c r="D18" i="2"/>
  <c r="B18" i="2"/>
  <c r="D17" i="2"/>
  <c r="B17" i="2"/>
  <c r="D16" i="2"/>
  <c r="B16" i="2"/>
  <c r="D15" i="2"/>
  <c r="B15" i="2"/>
  <c r="D14" i="2"/>
  <c r="B14" i="2"/>
  <c r="D13" i="2"/>
  <c r="B13" i="2"/>
  <c r="D12" i="2"/>
  <c r="B12" i="2"/>
  <c r="D11" i="2"/>
  <c r="B11" i="2"/>
  <c r="D10" i="2"/>
  <c r="B10" i="2"/>
  <c r="D9" i="2"/>
  <c r="B9" i="2"/>
  <c r="D8" i="2"/>
  <c r="B8" i="2"/>
  <c r="D7" i="2"/>
  <c r="B7" i="2"/>
  <c r="D6" i="2"/>
  <c r="B6" i="2"/>
  <c r="D5" i="2"/>
  <c r="B5" i="2"/>
  <c r="D4" i="2"/>
  <c r="B4" i="2"/>
  <c r="D3" i="2"/>
  <c r="B3" i="2"/>
  <c r="D2" i="2"/>
  <c r="B2" i="2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R84" i="1"/>
  <c r="Q84" i="1"/>
  <c r="R83" i="1"/>
  <c r="Q83" i="1"/>
  <c r="R82" i="1"/>
  <c r="Q82" i="1"/>
  <c r="R81" i="1"/>
  <c r="Q81" i="1"/>
  <c r="R80" i="1"/>
  <c r="Q80" i="1"/>
  <c r="R79" i="1"/>
  <c r="Q79" i="1"/>
  <c r="R78" i="1"/>
  <c r="Q78" i="1"/>
  <c r="R77" i="1"/>
  <c r="Q77" i="1"/>
  <c r="R76" i="1"/>
  <c r="Q76" i="1"/>
  <c r="R75" i="1"/>
  <c r="Q75" i="1"/>
  <c r="R74" i="1"/>
  <c r="Q74" i="1"/>
  <c r="R73" i="1"/>
  <c r="Q73" i="1"/>
  <c r="R72" i="1"/>
  <c r="Q72" i="1"/>
  <c r="R71" i="1"/>
  <c r="Q71" i="1"/>
  <c r="R70" i="1"/>
  <c r="Q70" i="1"/>
  <c r="R69" i="1"/>
  <c r="Q69" i="1"/>
  <c r="R68" i="1"/>
  <c r="Q68" i="1"/>
  <c r="R67" i="1"/>
  <c r="Q67" i="1"/>
  <c r="R66" i="1"/>
  <c r="Q66" i="1"/>
  <c r="R65" i="1"/>
  <c r="Q65" i="1"/>
  <c r="R64" i="1"/>
  <c r="Q64" i="1"/>
  <c r="R63" i="1"/>
  <c r="Q63" i="1"/>
  <c r="R62" i="1"/>
  <c r="Q62" i="1"/>
  <c r="R61" i="1"/>
  <c r="Q61" i="1"/>
  <c r="R60" i="1"/>
  <c r="Q60" i="1"/>
  <c r="R59" i="1"/>
  <c r="Q59" i="1"/>
  <c r="R58" i="1"/>
  <c r="Q58" i="1"/>
  <c r="R57" i="1"/>
  <c r="Q57" i="1"/>
  <c r="R56" i="1"/>
  <c r="Q56" i="1"/>
  <c r="R55" i="1"/>
  <c r="Q55" i="1"/>
  <c r="R54" i="1"/>
  <c r="Q54" i="1"/>
  <c r="R53" i="1"/>
  <c r="Q53" i="1"/>
  <c r="R52" i="1"/>
  <c r="Q52" i="1"/>
  <c r="R51" i="1"/>
  <c r="Q51" i="1"/>
  <c r="R50" i="1"/>
  <c r="Q50" i="1"/>
  <c r="R49" i="1"/>
  <c r="Q49" i="1"/>
  <c r="R48" i="1"/>
  <c r="Q48" i="1"/>
  <c r="R47" i="1"/>
  <c r="Q47" i="1"/>
  <c r="R46" i="1"/>
  <c r="Q46" i="1"/>
  <c r="R45" i="1"/>
  <c r="Q45" i="1"/>
  <c r="R44" i="1"/>
  <c r="Q44" i="1"/>
  <c r="R43" i="1"/>
  <c r="Q43" i="1"/>
  <c r="R42" i="1"/>
  <c r="Q42" i="1"/>
  <c r="R41" i="1"/>
  <c r="Q41" i="1"/>
  <c r="R40" i="1"/>
  <c r="Q40" i="1"/>
  <c r="R39" i="1"/>
  <c r="Q39" i="1"/>
  <c r="R38" i="1"/>
  <c r="Q38" i="1"/>
  <c r="R37" i="1"/>
  <c r="Q37" i="1"/>
  <c r="R36" i="1"/>
  <c r="Q36" i="1"/>
  <c r="R35" i="1"/>
  <c r="Q35" i="1"/>
  <c r="R34" i="1"/>
  <c r="Q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R5" i="1"/>
  <c r="Q5" i="1"/>
  <c r="R4" i="1"/>
  <c r="Q4" i="1"/>
  <c r="R3" i="1"/>
  <c r="Q3" i="1"/>
  <c r="R2" i="1"/>
  <c r="Q2" i="1"/>
</calcChain>
</file>

<file path=xl/sharedStrings.xml><?xml version="1.0" encoding="utf-8"?>
<sst xmlns="http://schemas.openxmlformats.org/spreadsheetml/2006/main" count="4296" uniqueCount="786">
  <si>
    <t>Name</t>
  </si>
  <si>
    <t>Description</t>
  </si>
  <si>
    <t>Class</t>
  </si>
  <si>
    <t>Part Number</t>
  </si>
  <si>
    <t>ASSI_Brake Light</t>
  </si>
  <si>
    <t>BMU</t>
  </si>
  <si>
    <t>BSPD</t>
  </si>
  <si>
    <t>BSPD_PEDAL</t>
  </si>
  <si>
    <t>CMU</t>
  </si>
  <si>
    <t>CMU_BREAKOUT</t>
  </si>
  <si>
    <t>DASH_LED</t>
  </si>
  <si>
    <t>DISCHARGE</t>
  </si>
  <si>
    <t>MegaVCU</t>
  </si>
  <si>
    <t>TSAL_CTRL</t>
  </si>
  <si>
    <t>TSAL_LED</t>
  </si>
  <si>
    <t>shutdown</t>
  </si>
  <si>
    <t>Total Qty</t>
  </si>
  <si>
    <t>Boards Used</t>
  </si>
  <si>
    <t>100n 50V X7R 0402</t>
  </si>
  <si>
    <t>Capacitor</t>
  </si>
  <si>
    <t>GRM155R71H104KE14J</t>
  </si>
  <si>
    <t>-</t>
  </si>
  <si>
    <t>100nF 25V X7R 0603</t>
  </si>
  <si>
    <t>CC0603MRX7R8BB104</t>
  </si>
  <si>
    <t>100nF 50V X7R 0603</t>
  </si>
  <si>
    <t>CL10B104KB8NNWC</t>
  </si>
  <si>
    <t>100pF 100V X7R 0603</t>
  </si>
  <si>
    <t>C0603C101J1GACTU</t>
  </si>
  <si>
    <t>10n 50V X7R 0402</t>
  </si>
  <si>
    <t>885012205067</t>
  </si>
  <si>
    <t>10nF 50V C0G 0603</t>
  </si>
  <si>
    <t>Ceramic Capacitor, Multilayer, Ceramic, 50V, 5% +Tol, 5% -Tol, C0G, 30ppm/Cel TC, 0.01uF, Surface Mount, 0603</t>
  </si>
  <si>
    <t>GRM1885C1H103JA01D</t>
  </si>
  <si>
    <t>10nF 50V X7R 0603</t>
  </si>
  <si>
    <t>0603B103K500CT</t>
  </si>
  <si>
    <t>10uF 25V X7R 0805</t>
  </si>
  <si>
    <t>GRM21BZ71E106KE15L</t>
  </si>
  <si>
    <t>10uF 50V X7R 1206</t>
  </si>
  <si>
    <t>CL31B106KBHNNNE</t>
  </si>
  <si>
    <t>1u 25V X6S 0402</t>
  </si>
  <si>
    <t>GRM155C81E105KE11J</t>
  </si>
  <si>
    <t>1uF 25V X7R 0603</t>
  </si>
  <si>
    <t>1uF 25V X7R 0603 10%</t>
  </si>
  <si>
    <t>C0603C105K3PACTU</t>
  </si>
  <si>
    <t>1uF 50V X6S 0603</t>
  </si>
  <si>
    <t>C1608X6S1H105K080AC</t>
  </si>
  <si>
    <t>220nF 25V X7R 0603</t>
  </si>
  <si>
    <t>0603B224K250CT</t>
  </si>
  <si>
    <t>220nF 50V X7R 0603</t>
  </si>
  <si>
    <t>Ceramic Capacitor, Multilayer, Ceramic, 50V, 10% +Tol, 10% -Tol, X7R, 15% TC, 0.00022uF, Surface Mount, 0603</t>
  </si>
  <si>
    <t>0603B221K500CT</t>
  </si>
  <si>
    <t>22pF 16V COG 0603</t>
  </si>
  <si>
    <t>885012006019</t>
  </si>
  <si>
    <t>22pF 16V X7R 0603</t>
  </si>
  <si>
    <t>8.85012E+11</t>
  </si>
  <si>
    <t>22uF 35V X7R 1206</t>
  </si>
  <si>
    <t>C3216X5R1V226M160AC</t>
  </si>
  <si>
    <t>2700pF 50V X7R 0603</t>
  </si>
  <si>
    <t>0603B272K500CT</t>
  </si>
  <si>
    <t>2u2 100V X7R 1210</t>
  </si>
  <si>
    <t>CL32B225KCJSNNE</t>
  </si>
  <si>
    <t>2u2 25V X6S 0603</t>
  </si>
  <si>
    <t>GRM188C81E225KE11D</t>
  </si>
  <si>
    <t>35ZLH390MEFC8X20</t>
  </si>
  <si>
    <t>Aluminum Electrolytic Capacitor, Polarized, Aluminum (wet), 35V, 20% +Tol, 20% -Tol, 390uF, Through Hole Mount</t>
  </si>
  <si>
    <t>470nF 50V 5% X5R 0603</t>
  </si>
  <si>
    <t>Capacitor, Ceramic, SMD, 470nF, 50V, 5%, X5R, 0603</t>
  </si>
  <si>
    <t>UMK107ABJ474KA-T</t>
  </si>
  <si>
    <t>47nF 100V X7R 0603</t>
  </si>
  <si>
    <t>CC0603KRX7R0BB473</t>
  </si>
  <si>
    <t>47pF 50V X7R 0603</t>
  </si>
  <si>
    <t>47pF 50VV X7R 0603</t>
  </si>
  <si>
    <t>0603N470J500CT</t>
  </si>
  <si>
    <t>4u7 16 V X7R 0603</t>
  </si>
  <si>
    <t>GRM21BR71C475KE51L</t>
  </si>
  <si>
    <t>4u7 25V X5R 0603</t>
  </si>
  <si>
    <t>GRM188C81E475KE11D</t>
  </si>
  <si>
    <t>4u7 50V 5% X7R 0603</t>
  </si>
  <si>
    <t>Capacitor, Ceramic, SMD, 4u7, 50V, 5%, X7R, 0603</t>
  </si>
  <si>
    <t>06033C470KAT2A</t>
  </si>
  <si>
    <t>4u7 50V 5% X7R 0603, 4u7 50V X7R 0603</t>
  </si>
  <si>
    <t>6n8 16V COG 0805</t>
  </si>
  <si>
    <t>C0805C682J4GACTU</t>
  </si>
  <si>
    <t>6n8 16V X7R 0603</t>
  </si>
  <si>
    <t>860020574012</t>
  </si>
  <si>
    <t>Aluminum Electrolytic Capacitor, Aluminum (wet)</t>
  </si>
  <si>
    <t>865080642006</t>
  </si>
  <si>
    <t>WCAP-ASLI Aluminum Electrolytic Capacitor, V-Chip, D5 x H5.5mm, 10uF, 50V</t>
  </si>
  <si>
    <t>FCS0V224ZFTBR24</t>
  </si>
  <si>
    <t>Radial Can - SMD Electric Double Layer Capacitor Fc 3.5V 220MF -20% +80% 0.421DIA 10.70MM</t>
  </si>
  <si>
    <t>10162582-1134151LF</t>
  </si>
  <si>
    <t>Mezzanine Connector, Header, 1 mm, 2 Rows, 51 Contacts, Surface Mount Straight, Copper Alloy</t>
  </si>
  <si>
    <t>Connector</t>
  </si>
  <si>
    <t>1775013-2</t>
  </si>
  <si>
    <t>0.8 Btb Fs Rcpt G/f 24P; 1775013-2</t>
  </si>
  <si>
    <t>3-6437285-2</t>
  </si>
  <si>
    <t>Super Seal Connector Header Through Hole, Right Angle 60 position 0.118" (3.00mm) ** Key 1 **</t>
  </si>
  <si>
    <t>3221-14-0100-00</t>
  </si>
  <si>
    <t>CONN HEADER VERT 14POS 1.27MM</t>
  </si>
  <si>
    <t>66200211022</t>
  </si>
  <si>
    <t>WR-MPC3 Single Row Right Angled Header with Plastic Pegs, THT, pitch 3mm, 2pins</t>
  </si>
  <si>
    <t>43650-0200</t>
  </si>
  <si>
    <t>66200421022</t>
  </si>
  <si>
    <t>WR-MPC3 Dual Row Right Angled Header with Plastic Pegs, THT, pitch 3mm, 4pins</t>
  </si>
  <si>
    <t>43045-0401</t>
  </si>
  <si>
    <t>66200621022</t>
  </si>
  <si>
    <t>WR-MPC3 Dual Row Right Angled Header with Plastic Pegs, THT, pitch 3mm, 6pins</t>
  </si>
  <si>
    <t>43045-0600</t>
  </si>
  <si>
    <t>66201021022</t>
  </si>
  <si>
    <t>WR-MPC3 THT Male Right Angled Header with Plastic Pegs, pitch 3mm, 10p</t>
  </si>
  <si>
    <t>43045-1001</t>
  </si>
  <si>
    <t>CLT-102-02-F-D-BE</t>
  </si>
  <si>
    <t>Board Connector, 4 Contact(s), 2 Row(s), Female, Straight, 0.079 inch Pitch, Surface Mount Terminal, Locking, Black Insulator, Plug</t>
  </si>
  <si>
    <t>Jumper 2Way Vert Pins</t>
  </si>
  <si>
    <t>QUTMS LAB</t>
  </si>
  <si>
    <t>1N4448WQ-7-F</t>
  </si>
  <si>
    <t>Diode, SMD, 75V, 5%, 250mA, SOD123</t>
  </si>
  <si>
    <t>Diode</t>
  </si>
  <si>
    <t>1N914BWS</t>
  </si>
  <si>
    <t>1SS367,H3F</t>
  </si>
  <si>
    <t>Rectifier Diode, Schottky, 1 Phase, 1 Element, 0.1A, 15V V(RRM), Silicon</t>
  </si>
  <si>
    <t>33V Zenner 1W SMA</t>
  </si>
  <si>
    <t>SMAZ33-13-F</t>
  </si>
  <si>
    <t>824012823</t>
  </si>
  <si>
    <t>WE-TVS TVS Diode – Super Speed Series, DFN1210-6L, 2 Channel, 3.3V, 0.18pF</t>
  </si>
  <si>
    <t>824032815</t>
  </si>
  <si>
    <t>WE-TVS TVS Diode – Standard Series, DFN1610-2L, 1 Channel, 5V, 140pF</t>
  </si>
  <si>
    <t>824501301</t>
  </si>
  <si>
    <t>WE-TVSP SMT Power TVS Diode, DO-214AC, Bidirectional, 400W, 30VDC</t>
  </si>
  <si>
    <t>824501500</t>
  </si>
  <si>
    <t>824501500 WE-TVSP Power TVS Diode</t>
  </si>
  <si>
    <t>MBR0540T1G</t>
  </si>
  <si>
    <t>Rectifier Diode, Schottky, 1 Phase, 1 Element, 0.5A, 40V V(RRM), Silicon</t>
  </si>
  <si>
    <t>MM3Z3V6B</t>
  </si>
  <si>
    <t>Zener Diode, 3.6V V(Z), 2%, 0.2W, Silicon, Unidirectional</t>
  </si>
  <si>
    <t>MM5Z3V3T1G</t>
  </si>
  <si>
    <t>Zener Diode, 3.3V V(Z), 6.06%, 0.5W, Silicon, Unidirectional</t>
  </si>
  <si>
    <t>MRA4007T3G</t>
  </si>
  <si>
    <t>Rectifier Diode, 1 Phase, 1 Element, 1A, 1000V V(RRM), Silicon</t>
  </si>
  <si>
    <t>NUP2105LT1G</t>
  </si>
  <si>
    <t>Trans Voltage Suppressor Diode, 350W, 24V V(RWM), Bidirectional, 2 Element, Silicon, TO-236AB</t>
  </si>
  <si>
    <t>PMEG6030EVPX</t>
  </si>
  <si>
    <t>Rectifier Diode, Schottky, 1 Phase, 1 Element, 4.2A, 60V V(RRM), Silicon</t>
  </si>
  <si>
    <t>SMA6T82AY</t>
  </si>
  <si>
    <t>Trans Voltage Suppressor Diode, 600W, 70V V(RWM), Unidirectional, 1 Element, Silicon, DO-214AC</t>
  </si>
  <si>
    <t>SMAZ12-13-F</t>
  </si>
  <si>
    <t>Zener Diode 12V 1W ±5% Surface Mount SMA</t>
  </si>
  <si>
    <t>SMAZ22-13-F</t>
  </si>
  <si>
    <t>Zener Diode 22V 1W ±5% Surface Mount SMA</t>
  </si>
  <si>
    <t>SMC30J28A</t>
  </si>
  <si>
    <t>Trans Voltage Suppressor Diode, 3000W, 28V V(RWM), Unidirectional, 1 Element, Silicon, DO-214AB</t>
  </si>
  <si>
    <t>SMC30J28CA</t>
  </si>
  <si>
    <t>Trans Voltage Suppressor Diode, 3000W, 28V V(RWM), Bidirectional, 1 Element, Silicon, DO-214AB</t>
  </si>
  <si>
    <t>USBLC6-4SC6</t>
  </si>
  <si>
    <t>Trans Voltage Suppressor Diode, 5V V(RWM), Unidirectional, 1 Element, Silicon</t>
  </si>
  <si>
    <t>6437288-2</t>
  </si>
  <si>
    <t>Board Connector, 4 Row(s), Right Angle, Solder Terminal</t>
  </si>
  <si>
    <t>IC</t>
  </si>
  <si>
    <t>AL8860MP-13</t>
  </si>
  <si>
    <t>LED Driver IC 1 Output DC DC Regulator Step-Down (Buck) Analog, PWM Dimming 1.5A 8-MSOP-EP</t>
  </si>
  <si>
    <t>AP64500SP-13</t>
  </si>
  <si>
    <t>Buck Switching Regulator IC Positive Adjustable 0.8V 1 Output 5A 8-SOIC (0.154", 3.90mm Width) Exposed Pad</t>
  </si>
  <si>
    <t>AT24C16D-STUM-T</t>
  </si>
  <si>
    <t>AT24C16D Series 16-Kbit (2K x 8) I²C-Compatible (2-Wire) Serial EEPROM-SOT-23-5</t>
  </si>
  <si>
    <t>BU4S584G2</t>
  </si>
  <si>
    <t>IC INVERTER SCHMITT 1CH 5SSOP</t>
  </si>
  <si>
    <t>BU4S584G2-TR</t>
  </si>
  <si>
    <t>DRV8243SQRXYRQ1</t>
  </si>
  <si>
    <t>Automotive 40-V, 12-A H-bridge driver with integrated current sensing and feedback 14-VQFN-HR -40 to 125</t>
  </si>
  <si>
    <t>DSC1101CI5-020.0000T</t>
  </si>
  <si>
    <t>CMOS Output Clock Oscillator, 20MHz Nom</t>
  </si>
  <si>
    <t>FOD817A3SD</t>
  </si>
  <si>
    <t>Transistor Output Optocoupler, 1-Element, 5000V Isolation</t>
  </si>
  <si>
    <t>L9963E</t>
  </si>
  <si>
    <t>14 Cell Battery Monitor</t>
  </si>
  <si>
    <t>L9963E-TR</t>
  </si>
  <si>
    <t>L9963T</t>
  </si>
  <si>
    <t>Power Supply Support Circuit</t>
  </si>
  <si>
    <t>L9963T-TR</t>
  </si>
  <si>
    <t>LM555CMX</t>
  </si>
  <si>
    <t>555 Type, Timer/Oscillator (Single) IC 100kHz 8-SOIC</t>
  </si>
  <si>
    <t>LM555CMX/NOPB</t>
  </si>
  <si>
    <t>LM74502DDFR</t>
  </si>
  <si>
    <t>3.2-V to 65-V industrial RPP controller with load disconnect and OVP 8-SOT-23-THIN -40 to 125</t>
  </si>
  <si>
    <t>LMR51610YFDBVR</t>
  </si>
  <si>
    <t>SIMPLE SWITCHER POWER CONVERTER Buck Switching Regulator IC Positive Adjustable 0.8V 1 Output 1A SOT-23-6</t>
  </si>
  <si>
    <t>LP2951ACDMR2G</t>
  </si>
  <si>
    <t>Fixed/Adjustable Positive LDO Regulator, 1.25V Min, 29V Max, 0.45V Dropout, BIPolar, PDSO8</t>
  </si>
  <si>
    <t>MAX17608ATC+T</t>
  </si>
  <si>
    <t>Power Supply Support Circuit, Adjustable, 1 Channel, PDSO12</t>
  </si>
  <si>
    <t>MX35LF1G24AD-Z4I-T</t>
  </si>
  <si>
    <t>NAND Flash Memory 1Gbit Serial-SPI 3V 8-Pin WSON T/R</t>
  </si>
  <si>
    <t>MX35LF1G24AD-Z4I/TR</t>
  </si>
  <si>
    <t>PCAL9722HN/Q900MP</t>
  </si>
  <si>
    <t>Low-Voltage Translating 22-Bit Spi I/O Expander - Aec_Q100 Compliant Rohs Compliant: Yes</t>
  </si>
  <si>
    <t>SIT1533AI-H4-DCC-32.768E</t>
  </si>
  <si>
    <t>LVCMOS Output Clock Oscillator, 0.032768MHz Nom</t>
  </si>
  <si>
    <t>SN74HCT08DR</t>
  </si>
  <si>
    <t>AND Gate IC 4 Channel  14-SOIC</t>
  </si>
  <si>
    <t>SN74LVC1G32DBVRG4</t>
  </si>
  <si>
    <t>Single 2-input positive-OR gate is designed for 1.65-V to 5.5-V VCC operation</t>
  </si>
  <si>
    <t>STM32G474MET6</t>
  </si>
  <si>
    <t>Microcontroller</t>
  </si>
  <si>
    <t>STM32G484QET6</t>
  </si>
  <si>
    <t>Arm Cortex-M4 MCU 170 MHz with 512 Kbytes of Flash memory, Math Accelerator, HR Timer, High Analog level integration, Crypto</t>
  </si>
  <si>
    <t>TCAN337GDCNR</t>
  </si>
  <si>
    <t>Interface Circuit, PDSO8</t>
  </si>
  <si>
    <t>TS862IDT</t>
  </si>
  <si>
    <t>Comparator, 2 Func, 18000uV Offset-Max, 2000ns Response Time, BICMOS, PDSO8</t>
  </si>
  <si>
    <t>TSX712IDT</t>
  </si>
  <si>
    <t>Operational Amplifier, 2 Func, 450uV Offset-Max, PDSO8</t>
  </si>
  <si>
    <t>74437324082</t>
  </si>
  <si>
    <t>General Purpose Inductor, 8.2uH, 20%, 1 Element, Powdered  Iron-Core, SMD, 1816</t>
  </si>
  <si>
    <t>Inductor</t>
  </si>
  <si>
    <t>74438356220</t>
  </si>
  <si>
    <t>General Purpose Inductor, 22uH, 20%, 1 Element, Metal Alloy-Core, SMD, 1616</t>
  </si>
  <si>
    <t>74438357100</t>
  </si>
  <si>
    <t>74438357100 General Purpose Inductor, 10uH, 20%, 1 Element, Iron Alloy-Core, SMD, 1616</t>
  </si>
  <si>
    <t>7447797360</t>
  </si>
  <si>
    <t>General Purpose Inductor, 3.6uH, 20%, 1 Element, Ferrite-Core, SMD, 4040</t>
  </si>
  <si>
    <t>SRN6045-470M</t>
  </si>
  <si>
    <t>Inductor Power Semi-Shielded Wirewound 47uH 20% 100KHz 13Q-Factor Ferrite 1.1A 257mOhm DCR T/R</t>
  </si>
  <si>
    <t>150060VS75000</t>
  </si>
  <si>
    <t>Single Color LED, Bright Green, Water Clear, 1.1mm</t>
  </si>
  <si>
    <t>LED</t>
  </si>
  <si>
    <t>150353M153300</t>
  </si>
  <si>
    <t>Triple Color LED</t>
  </si>
  <si>
    <t>LED 0805 Green</t>
  </si>
  <si>
    <t>Led, Green, 570 Nm, 2 V, 30 Ma, 40 Mcd Rohs Compliant: Yes</t>
  </si>
  <si>
    <t>150080VS75000</t>
  </si>
  <si>
    <t>LED 0805 RED</t>
  </si>
  <si>
    <t>HSMS-C170</t>
  </si>
  <si>
    <t>LED Blue 0603</t>
  </si>
  <si>
    <t>SMLE13BC8TT86</t>
  </si>
  <si>
    <t>LED Green 0603</t>
  </si>
  <si>
    <t>LTST-C190GKT</t>
  </si>
  <si>
    <t>LED Red 0603</t>
  </si>
  <si>
    <t>HSMS-C190</t>
  </si>
  <si>
    <t>VDMY10A0</t>
  </si>
  <si>
    <t>Smart/Normal 7 Seg Numeric LED Display</t>
  </si>
  <si>
    <t>Xlamp XP-E2 LED RED</t>
  </si>
  <si>
    <t>LED, HB, RED, 73.9LM; Series: XLamp XP-E2; LED Color: Red; Luminous Intensity @ Test: -; Luminous Flux @ Test:...</t>
  </si>
  <si>
    <t>XPEBRD-L1-0000-00501</t>
  </si>
  <si>
    <t>66200221022</t>
  </si>
  <si>
    <t>WR-MPC3 Dual Row Right Angled Header with Plastic Pegs, THT, pitch 3mm, 2pins</t>
  </si>
  <si>
    <t>Other</t>
  </si>
  <si>
    <t>43045-0201</t>
  </si>
  <si>
    <t>66200311022</t>
  </si>
  <si>
    <t>WR-MPC3 Single Row Right Angled Header with Plastic Pegs, THT, pitch 3mm, 3pins</t>
  </si>
  <si>
    <t>66200821022</t>
  </si>
  <si>
    <t>WR-MPC3 Dual Row Right Angled Header with Plastic Pegs, THT, pitch 3mm, 8pins</t>
  </si>
  <si>
    <t>43045-0801</t>
  </si>
  <si>
    <t>66201221022</t>
  </si>
  <si>
    <t>WR-MPC3 Dual Row Right Angled Header with Plastic Pegs, THT, pitch 3mm, 12pins</t>
  </si>
  <si>
    <t>74942301</t>
  </si>
  <si>
    <t>WE-BMS Transformer for Battery Management Systems, SMT, 2 Port, 1000VDC</t>
  </si>
  <si>
    <t>9775046960R</t>
  </si>
  <si>
    <t>WA-SMSR SMT Steel Spacer Reverse, hole 3.2mm x 4.6mm</t>
  </si>
  <si>
    <t>9776030960R</t>
  </si>
  <si>
    <t>WA-SMSSR SMT Steel Spacer fixed with snap rivet</t>
  </si>
  <si>
    <t>ALQ3F12</t>
  </si>
  <si>
    <t>Power/Signal Relay, 1 Form A, SPST, Momentary, 0.017A (Coil), 12VDC (Coil), 200mW (Coil), 5A (Contact), 30VDC (Contact), DC Input, Random, AC/DC Output, Through Hole-Straight Mount</t>
  </si>
  <si>
    <t>ALQ112</t>
  </si>
  <si>
    <t>BLM18KG102SH1D</t>
  </si>
  <si>
    <t>Ferrite Chip, 1 Function(s), 0.8A, 2 Pin(s)</t>
  </si>
  <si>
    <t>C2Q4</t>
  </si>
  <si>
    <t>Fuse Chip Very Fast Acting 4A</t>
  </si>
  <si>
    <t>G5V-2-DC12</t>
  </si>
  <si>
    <t>Low Signal Relay 12VDC Coil 8-Blade Terminal 125VAC/DC 2A 2 Poles PCB Mounting DPDT</t>
  </si>
  <si>
    <t>ID3.2x3.6mm</t>
  </si>
  <si>
    <t>WA-SMSR SMT Steel Spacer Reverse with through hole 3.2mm, Length 3.6mm</t>
  </si>
  <si>
    <t>9775036960R</t>
  </si>
  <si>
    <t>TP 1.6mm Red</t>
  </si>
  <si>
    <t>5010</t>
  </si>
  <si>
    <t>hm2106nl</t>
  </si>
  <si>
    <t>Datacom Transformer</t>
  </si>
  <si>
    <t>HM2106NL</t>
  </si>
  <si>
    <t>0R 1% 0402</t>
  </si>
  <si>
    <t>Metal Glaze/thick Film, 0.063W, 0ohm, Surface Mount, 0402</t>
  </si>
  <si>
    <t>Resistor</t>
  </si>
  <si>
    <t>CRCW04020000Z0EE</t>
  </si>
  <si>
    <t>0R 1% 0603</t>
  </si>
  <si>
    <t>CRCW06030000Z0EI</t>
  </si>
  <si>
    <t>0R3 1% 1206</t>
  </si>
  <si>
    <t>0R3 300mOhm 300mΩ 1% 1206 500mW</t>
  </si>
  <si>
    <t>CRL1206-FW-R300ELF</t>
  </si>
  <si>
    <t>100R 1% 0603</t>
  </si>
  <si>
    <t>RMCF0603FT100R</t>
  </si>
  <si>
    <t>100R 1% 0603 0.25W</t>
  </si>
  <si>
    <t>RCS0603100RFKEA</t>
  </si>
  <si>
    <t>100k 1% 0603</t>
  </si>
  <si>
    <t>100k 1% 0603 250mW</t>
  </si>
  <si>
    <t>CRGP0603F100K</t>
  </si>
  <si>
    <t>10R 3W 2512 5%</t>
  </si>
  <si>
    <t>1-2176230-4</t>
  </si>
  <si>
    <t>10k 0.1% 0603</t>
  </si>
  <si>
    <t>10k 0.1% 0603 250mW</t>
  </si>
  <si>
    <t>RNCF0603BTE10K0</t>
  </si>
  <si>
    <t>10k 1% 0402</t>
  </si>
  <si>
    <t>10k 1% 0402 0.063W</t>
  </si>
  <si>
    <t>WR04X1002FTL</t>
  </si>
  <si>
    <t>10k 1% 0603</t>
  </si>
  <si>
    <t>10k 1% 0603 100mW</t>
  </si>
  <si>
    <t>CRGCQ0603F10K</t>
  </si>
  <si>
    <t>10k 1% 0603 250mW</t>
  </si>
  <si>
    <t>ERJ-PA3F1002V</t>
  </si>
  <si>
    <t>115k 0.1% 0603</t>
  </si>
  <si>
    <t>115k 0.1% 0603 100mW</t>
  </si>
  <si>
    <t>RN73R1JTTD1153B50</t>
  </si>
  <si>
    <t>118k 0.1% 0603, 22k1 0.1% 0603</t>
  </si>
  <si>
    <t>22k1 0.1% 0603</t>
  </si>
  <si>
    <t>ERA-3AEB1403V</t>
  </si>
  <si>
    <t>11k8 0.1% 0603</t>
  </si>
  <si>
    <t>Res Thin Film 0603 11.8K Ohm 0.1% 0.1W(1/10W) ±25ppm/C Pad SMD Automotive T/R</t>
  </si>
  <si>
    <t>RT0603BRD0711K8L</t>
  </si>
  <si>
    <t>140k 0.1% 0603</t>
  </si>
  <si>
    <t>Res Thin Film 0603 140K Ohm 0.1% 0.1W(1/10W) ±25ppm/°C Molded SMD Punched Carrier T/R</t>
  </si>
  <si>
    <t>150k 1% 0603</t>
  </si>
  <si>
    <t>150k 1% 0603 250mW</t>
  </si>
  <si>
    <t>WR06X1503FTL</t>
  </si>
  <si>
    <t>152k 0.1% 0603</t>
  </si>
  <si>
    <t>152k 0.1% 0603 250mW</t>
  </si>
  <si>
    <t>RN73R1JTTD1523B25</t>
  </si>
  <si>
    <t>15k8 1% 0603</t>
  </si>
  <si>
    <t>CR0603-FX-1582ELF</t>
  </si>
  <si>
    <t>1M 0.1% 1206</t>
  </si>
  <si>
    <t>RNCS1206BKE1M00</t>
  </si>
  <si>
    <t>1k 1% 0603</t>
  </si>
  <si>
    <t>1k 1% 0603 250mW</t>
  </si>
  <si>
    <t>CR0603-FX-1001ELF</t>
  </si>
  <si>
    <t>ERJ-PA3F1001V</t>
  </si>
  <si>
    <t>1k 1% 1206 3/4W</t>
  </si>
  <si>
    <t>Fixed Resistor, Metal Glaze/thick Film, 0.75W, 1000ohm, 250V, 1% +/-Tol, 100ppm/Cel, Surface Mount, 1206</t>
  </si>
  <si>
    <t>CHP1206AFX-1001ELF</t>
  </si>
  <si>
    <t>1k2 1% 0603</t>
  </si>
  <si>
    <t>1k2 1% 0603 250mW</t>
  </si>
  <si>
    <t>RMCF0603FT1K20</t>
  </si>
  <si>
    <t>1k5 1% 0603</t>
  </si>
  <si>
    <t>Res Thick Film 0603 1.5K Ohm 1% 0.1W(1/10W) ±100ppm/C Pad SMD T/R</t>
  </si>
  <si>
    <t>WR06X1501FTL</t>
  </si>
  <si>
    <t>200k 1% 0603</t>
  </si>
  <si>
    <t>200k 1% 0603 100mW</t>
  </si>
  <si>
    <t>RMCF0603FT200K</t>
  </si>
  <si>
    <t>20R 2W 2512 1%</t>
  </si>
  <si>
    <t>352120RFT</t>
  </si>
  <si>
    <t>20k 1% 0603</t>
  </si>
  <si>
    <t>20k 1% 0603 0.1 mW</t>
  </si>
  <si>
    <t>RMCF0603FT20K0</t>
  </si>
  <si>
    <t>220R 1% 0603</t>
  </si>
  <si>
    <t>Fixed Resistor, Metal Glaze/thick Film, 0.1W, 220ohm, 75V, 1% +/-Tol, 100ppm/Cel, Surface Mount, 0603</t>
  </si>
  <si>
    <t>RC0603FR-07220RL</t>
  </si>
  <si>
    <t>220k 1% 0603</t>
  </si>
  <si>
    <t>RMCF0603FT220K</t>
  </si>
  <si>
    <t>22k 1% 0603</t>
  </si>
  <si>
    <t>RMCF0603FT22K0</t>
  </si>
  <si>
    <t>Fixed Resistor, Thin Film, 0.1W, 22100ohm, 75V, 0.1% +/-Tol, 25ppm/Cel, Surface Mount, 0603</t>
  </si>
  <si>
    <t>ERA-3AEB2212V</t>
  </si>
  <si>
    <t>232k 0.1% 0603</t>
  </si>
  <si>
    <t>232k 0.1% 0603 250mW</t>
  </si>
  <si>
    <t>RN73C1J232KBTDF</t>
  </si>
  <si>
    <t>240k 1% 0603</t>
  </si>
  <si>
    <t>240k 1% 0603 250mW</t>
  </si>
  <si>
    <t>RMCF0603FT240K</t>
  </si>
  <si>
    <t>24k9 0.1% 1206</t>
  </si>
  <si>
    <t>24k9 0.1% 1206 1/4W</t>
  </si>
  <si>
    <t>ERA-8AEB2492V</t>
  </si>
  <si>
    <t>2M2 1% 0603</t>
  </si>
  <si>
    <t>2M2 1% 0603 250mW</t>
  </si>
  <si>
    <t>RC0603FR-072M2L</t>
  </si>
  <si>
    <t>2k 1% 0603</t>
  </si>
  <si>
    <t>2k 1% 0603 100mW</t>
  </si>
  <si>
    <t>ERJ-3GEYJ202V</t>
  </si>
  <si>
    <t>2k 1% 1206 1/2W</t>
  </si>
  <si>
    <t>AC1206FR-7W2KL</t>
  </si>
  <si>
    <t>2k2 1% 0402</t>
  </si>
  <si>
    <t>2k2 1% 0402 0.063W</t>
  </si>
  <si>
    <t>WR04X2201FTL</t>
  </si>
  <si>
    <t>2k2, 1%, 0603</t>
  </si>
  <si>
    <t>2k2, 1%, 0603 250mW</t>
  </si>
  <si>
    <t>CRGP0603F2K2</t>
  </si>
  <si>
    <t>330R 1% 0603</t>
  </si>
  <si>
    <t>ERJ-PB3B3300V</t>
  </si>
  <si>
    <t>3313J-1-103E</t>
  </si>
  <si>
    <t>SMD Cermet Trimmer Resistor w/J-Hook Term.; 10kOhm +/-20% 0.125W +/-150ppm/degC</t>
  </si>
  <si>
    <t>34k8 1% 0603</t>
  </si>
  <si>
    <t>RMCF0603FT34K8</t>
  </si>
  <si>
    <t>390k 1% 0603</t>
  </si>
  <si>
    <t>390k 1% 0603 250mW</t>
  </si>
  <si>
    <t>RC0603FR-07390KL</t>
  </si>
  <si>
    <t>3k3 1% 0603</t>
  </si>
  <si>
    <t>3k3 1% 0603 0.1 mW</t>
  </si>
  <si>
    <t>ERJ-3EKF3301V</t>
  </si>
  <si>
    <t>3k3 1% 0603 1/3W</t>
  </si>
  <si>
    <t>Fixed Resistor, Metal Glaze/thick Film, 0.33W, 3300ohm, 75V, 1% +/-Tol, 100ppm/Cel, Surface Mount, 0603</t>
  </si>
  <si>
    <t>CRCW06033K30FKEAHP</t>
  </si>
  <si>
    <t>3k9 1% 0603</t>
  </si>
  <si>
    <t>3k9 1% 0603 100mW</t>
  </si>
  <si>
    <t>RMCF0603FT3K90</t>
  </si>
  <si>
    <t>40k2 1% 0603</t>
  </si>
  <si>
    <t>Fixed Resistor, Metal Glaze/thick Film, 0.1W, 40200ohm, 75V, 1% +/-Tol, 100ppm/Cel, Surface Mount, 0603</t>
  </si>
  <si>
    <t>ERJ-3EKF4022V</t>
  </si>
  <si>
    <t>47k 0.1% 0603</t>
  </si>
  <si>
    <t>ERJ-PB3B4702V</t>
  </si>
  <si>
    <t>48R7 1W 2512 1%</t>
  </si>
  <si>
    <t>CRCW251248R7FKEG</t>
  </si>
  <si>
    <t>4k7 1% 0603</t>
  </si>
  <si>
    <t>CR0603-FX-4701ELF</t>
  </si>
  <si>
    <t>4k7 1% 0603 NTC</t>
  </si>
  <si>
    <t>NTCS0603E3472FHT</t>
  </si>
  <si>
    <t>54k9 1% 0603</t>
  </si>
  <si>
    <t>Fixed Resistor, Metal Glaze/thick Film, 0.1W, 54900ohm, 75V, 1% +/-Tol, 100ppm/Cel, Surface Mount, 0603</t>
  </si>
  <si>
    <t>RK73H1JTTD5492F</t>
  </si>
  <si>
    <t>5k1 1% 0603</t>
  </si>
  <si>
    <t>5k1 1% 0603 100 mW</t>
  </si>
  <si>
    <t>RC0603FR-075K1L</t>
  </si>
  <si>
    <t>60R4 1% 0603</t>
  </si>
  <si>
    <t>ERJ-3EKF60R4V</t>
  </si>
  <si>
    <t>68k 1% 0603</t>
  </si>
  <si>
    <t>68k 1% 0603  100mW</t>
  </si>
  <si>
    <t>RC0603FR-0768KL</t>
  </si>
  <si>
    <t>69k8 0.1% 0603</t>
  </si>
  <si>
    <t>Res Thin Film 0603 69.8K Ohm 0.1% 0.1W(1/10W) ±25ppm/°C Molded SMD Punched Carrier T/R</t>
  </si>
  <si>
    <t>CPF0603B69K8E1</t>
  </si>
  <si>
    <t>ERA-3AEB6982V</t>
  </si>
  <si>
    <t>6k2 1% 0603, 6k2 1% 0603 TF</t>
  </si>
  <si>
    <t>6k2 1% 0603 100mW Thick Film</t>
  </si>
  <si>
    <t>RMCF0603FT6K20</t>
  </si>
  <si>
    <t>76k8 0.1% 0603</t>
  </si>
  <si>
    <t>Res Thin Film 0603 76.8K Ohm 0.1% 0.1W(1/10W) ±25ppm/C Pad SMD Automotive T/R</t>
  </si>
  <si>
    <t>RT0603BRD0776K8L</t>
  </si>
  <si>
    <t>7k5 1% 0603</t>
  </si>
  <si>
    <t>7k5 1% 0603 250mW</t>
  </si>
  <si>
    <t>RMCF0603FT7K50</t>
  </si>
  <si>
    <t>82k 1% 0603</t>
  </si>
  <si>
    <t>82k 1% 0603 250mW</t>
  </si>
  <si>
    <t>CRGP0603F82K</t>
  </si>
  <si>
    <t>8k2 1% 0603</t>
  </si>
  <si>
    <t>0603WAF8201T5E</t>
  </si>
  <si>
    <t>L25J2K0E</t>
  </si>
  <si>
    <t>2k 25W 5%</t>
  </si>
  <si>
    <t>TC33X-2-103E</t>
  </si>
  <si>
    <t>Trimming Potentiometer, 10000 Ohm, -40 to 100 degC, 3-Pin SMD, RoHS, Tape and Reel</t>
  </si>
  <si>
    <t>F20A15005DCFB06E</t>
  </si>
  <si>
    <t>NC SPST thermal switch</t>
  </si>
  <si>
    <t>Switch</t>
  </si>
  <si>
    <t>140817143400</t>
  </si>
  <si>
    <t>WL-OCPT Optocoupler Phototransistor, DIP4_SL-Type, SMT, DC, 35V, 60mA</t>
  </si>
  <si>
    <t>Transistor</t>
  </si>
  <si>
    <t>2N7002K</t>
  </si>
  <si>
    <t>N-Channel 60V 300mA (Ta) 350mW (Ta) Surface Mount SOT-23 (TO-236AB)</t>
  </si>
  <si>
    <t>2N7002KT7G</t>
  </si>
  <si>
    <t>BSS7728N</t>
  </si>
  <si>
    <t>BSS7728NH6327XTSA2</t>
  </si>
  <si>
    <t>BSS308PE</t>
  </si>
  <si>
    <t>Small Signal Field-Effect Transistor, 2A I(D), 30V, 1-Element, P-Channel, Silicon, Metal-oxide Semiconductor FET</t>
  </si>
  <si>
    <t>BSS308PEH6327XTSA1</t>
  </si>
  <si>
    <t>CPH3351</t>
  </si>
  <si>
    <t>P-Channel 60V 1.8A (Ta) 1W (Ta) Surface Mount 3-CPH</t>
  </si>
  <si>
    <t>TP0610K-T1-E3</t>
  </si>
  <si>
    <t>IRF7495PBF</t>
  </si>
  <si>
    <t>MOSFET N, 100 V 4.6 A 2.5 W SO-8, IRF7495PBF, IR</t>
  </si>
  <si>
    <t>IRF7495TRPBF</t>
  </si>
  <si>
    <t>IRLL024NTRPBF</t>
  </si>
  <si>
    <t>Power Field-Effect Transistor, 4.4A I(D), 55V, 0.065ohm, 1-Element, N-Channel, Silicon, Metal-oxide Semiconductor FET, TO-261AA</t>
  </si>
  <si>
    <t>IRLR3410TRPBF</t>
  </si>
  <si>
    <t>Power Field-Effect Transistor, 17A I(D), 100V, 0.125ohm, 1-Element, N-Channel, Silicon, Metal-oxide Semiconductor FET, TO-252AA</t>
  </si>
  <si>
    <t>MMBT3904VL</t>
  </si>
  <si>
    <t>Transistor Gp Bjt NPN 40V 0.2A 3-PIN SOT-23 T/r</t>
  </si>
  <si>
    <t>SI2324A-TP</t>
  </si>
  <si>
    <t>MOSFET N-CH 100V 2A SOT23</t>
  </si>
  <si>
    <t>SSM3K2615R,LF</t>
  </si>
  <si>
    <t>Small Signal Field-Effect Transistor, 2A I(D), 60V, 1-Element, N-Channel, Silicon, Metal-oxide Semiconductor FET</t>
  </si>
  <si>
    <t>Board</t>
  </si>
  <si>
    <t>Qty</t>
  </si>
  <si>
    <t>Designator</t>
  </si>
  <si>
    <t>C1, C2, C3, C4</t>
  </si>
  <si>
    <t>J1</t>
  </si>
  <si>
    <t>D1, D2, D3, D4</t>
  </si>
  <si>
    <t>U1, U2</t>
  </si>
  <si>
    <t>QUTMS Logo 20mm TL</t>
  </si>
  <si>
    <t>LOGO2</t>
  </si>
  <si>
    <t>L1, L2</t>
  </si>
  <si>
    <t>DS1, DS2, DS3, DS4, DS5, DS6</t>
  </si>
  <si>
    <t>P1</t>
  </si>
  <si>
    <t>MP1, MP2, MP3, MP4</t>
  </si>
  <si>
    <t>R1, R2</t>
  </si>
  <si>
    <t>C27, C29, C30, C31, C34, C35, C36, C37, C38, C39, C40, C41</t>
  </si>
  <si>
    <t>C6A, C6B, C8A, C8B, C15A, C15B, C15C, C17A, C17B, C17C, C18, C19, C20, C21, C22, C26A, C26B, C28, C46, C50</t>
  </si>
  <si>
    <t>C43, C45</t>
  </si>
  <si>
    <t>C24, C25</t>
  </si>
  <si>
    <t>C48, C52</t>
  </si>
  <si>
    <t>C13A, C13B, C13C, C14A, C14B, C14C</t>
  </si>
  <si>
    <t>C42, C44</t>
  </si>
  <si>
    <t>C11A, C11B</t>
  </si>
  <si>
    <t>C16A, C16B, C16C</t>
  </si>
  <si>
    <t>C7A, C7B, C12A, C12B</t>
  </si>
  <si>
    <t>C47, C51</t>
  </si>
  <si>
    <t>C9A, C9B, C23</t>
  </si>
  <si>
    <t>C4</t>
  </si>
  <si>
    <t>C32, C33</t>
  </si>
  <si>
    <t>C49, C53</t>
  </si>
  <si>
    <t>C5</t>
  </si>
  <si>
    <t>C10A, C10B</t>
  </si>
  <si>
    <t>C1, C2, C3</t>
  </si>
  <si>
    <t>J2A, J2B, J2C, P2, P3</t>
  </si>
  <si>
    <t>D2, D7, D8, D12, D15</t>
  </si>
  <si>
    <t>D10, D11, D14, D17, D18</t>
  </si>
  <si>
    <t>D5A, D5B, D5C, D21</t>
  </si>
  <si>
    <t>D20A, D20B</t>
  </si>
  <si>
    <t>D1</t>
  </si>
  <si>
    <t>D6, D9, D13, D16</t>
  </si>
  <si>
    <t>D19</t>
  </si>
  <si>
    <t>D3</t>
  </si>
  <si>
    <t>D4A, D4B</t>
  </si>
  <si>
    <t>U12</t>
  </si>
  <si>
    <t>U5</t>
  </si>
  <si>
    <t>U9</t>
  </si>
  <si>
    <t>U6, U7</t>
  </si>
  <si>
    <t>U3A, U3B</t>
  </si>
  <si>
    <t>U4A, U4B, U4C</t>
  </si>
  <si>
    <t>U13, U14</t>
  </si>
  <si>
    <t>U1</t>
  </si>
  <si>
    <t>U11</t>
  </si>
  <si>
    <t>STLINK-V3MODS</t>
  </si>
  <si>
    <t>U2</t>
  </si>
  <si>
    <t>U10</t>
  </si>
  <si>
    <t>U8A, U8B</t>
  </si>
  <si>
    <t>L2</t>
  </si>
  <si>
    <t>L1</t>
  </si>
  <si>
    <t>DS6, DS8</t>
  </si>
  <si>
    <t>DS3, DS4, DS11, DS12</t>
  </si>
  <si>
    <t>DS1, DS2</t>
  </si>
  <si>
    <t>P4, P5, P7, P8</t>
  </si>
  <si>
    <t>P6, P9</t>
  </si>
  <si>
    <t>T1</t>
  </si>
  <si>
    <t>K1, K2, K3, K4, K5, K6, K7</t>
  </si>
  <si>
    <t>R20, R28</t>
  </si>
  <si>
    <t>R31, R32</t>
  </si>
  <si>
    <t>R45, R46</t>
  </si>
  <si>
    <t>R13A, R13B, R16A, R16B, R16C, R42</t>
  </si>
  <si>
    <t>R48, R49</t>
  </si>
  <si>
    <t>R10</t>
  </si>
  <si>
    <t>R14A, R14B, R14C</t>
  </si>
  <si>
    <t>R9</t>
  </si>
  <si>
    <t>R52</t>
  </si>
  <si>
    <t>R8</t>
  </si>
  <si>
    <t>R4, R5, R27</t>
  </si>
  <si>
    <t>R43, R44</t>
  </si>
  <si>
    <t>R19, R21, R23, R25, R50</t>
  </si>
  <si>
    <t>R26</t>
  </si>
  <si>
    <t>R41</t>
  </si>
  <si>
    <t>R7</t>
  </si>
  <si>
    <t>R37, R40</t>
  </si>
  <si>
    <t>R17, R18, R22, R24, R29, R30, R33, R34A, R34B, R47</t>
  </si>
  <si>
    <t>R15A, R15B, R15C</t>
  </si>
  <si>
    <t>R11A, R11B, R12A, R12B</t>
  </si>
  <si>
    <t>R51</t>
  </si>
  <si>
    <t>R3, R6</t>
  </si>
  <si>
    <t>Q1A, Q1B, Q1C</t>
  </si>
  <si>
    <t>Q4</t>
  </si>
  <si>
    <t>Q2, Q3</t>
  </si>
  <si>
    <t>C1, C9, C10, C11, C12, C13, C14, C15, C16, C17, C18, C20, C21, C22, C24, C25, C26, C27, C28, C29, C30, C31, C32, C33, C34, C35, C36</t>
  </si>
  <si>
    <t>C19</t>
  </si>
  <si>
    <t>C2</t>
  </si>
  <si>
    <t>C5, C6, C7</t>
  </si>
  <si>
    <t>C8</t>
  </si>
  <si>
    <t>C23</t>
  </si>
  <si>
    <t>C3</t>
  </si>
  <si>
    <t>D4, D8</t>
  </si>
  <si>
    <t>D2, D3, D6, D7</t>
  </si>
  <si>
    <t>D9, D11</t>
  </si>
  <si>
    <t>D5</t>
  </si>
  <si>
    <t>D10</t>
  </si>
  <si>
    <t>LM317DCYR</t>
  </si>
  <si>
    <t>U13</t>
  </si>
  <si>
    <t>U3, U5</t>
  </si>
  <si>
    <t>U8</t>
  </si>
  <si>
    <t>U2, U4, U6, U7, U11, U12</t>
  </si>
  <si>
    <t>DS5, DS6</t>
  </si>
  <si>
    <t>DS1, DS2, DS3, DS4, DS7, DS8, DS9, DS10</t>
  </si>
  <si>
    <t>P1, P2</t>
  </si>
  <si>
    <t>P4</t>
  </si>
  <si>
    <t>P3</t>
  </si>
  <si>
    <t>K1, K2</t>
  </si>
  <si>
    <t>M4 Mounting Hole (Unplated)</t>
  </si>
  <si>
    <t>MH1, MH2, MH3, MH4</t>
  </si>
  <si>
    <t>TP2</t>
  </si>
  <si>
    <t>R24, R32, R39, R49</t>
  </si>
  <si>
    <t>R15, R16, R17, R27, R28, R54, R56, R61, R62, R68, R69</t>
  </si>
  <si>
    <t>R1, R51, R52, R55</t>
  </si>
  <si>
    <t>R2</t>
  </si>
  <si>
    <t>R5</t>
  </si>
  <si>
    <t>R6</t>
  </si>
  <si>
    <t>R44, R45</t>
  </si>
  <si>
    <t>R4</t>
  </si>
  <si>
    <t>R7, R8, R9, R10</t>
  </si>
  <si>
    <t>R43, R46</t>
  </si>
  <si>
    <t>R25, R26, R33, R35, R48</t>
  </si>
  <si>
    <t>R34</t>
  </si>
  <si>
    <t>R3, R12, R14, R19, R23, R31, R40, R41, R47, R58, R60, R63, R65, R67, R70</t>
  </si>
  <si>
    <t>R53</t>
  </si>
  <si>
    <t>R11, R13, R18, R20, R36, R37, R42, R57, R59, R64, R66</t>
  </si>
  <si>
    <t>R50</t>
  </si>
  <si>
    <t>R21, R22, R29, R30</t>
  </si>
  <si>
    <t>R38</t>
  </si>
  <si>
    <t>Q2</t>
  </si>
  <si>
    <t>Q1</t>
  </si>
  <si>
    <t>C8, C10, C12, C15</t>
  </si>
  <si>
    <t>C5, C6, C7, C9, C11, C13, C14</t>
  </si>
  <si>
    <t>C3, C4</t>
  </si>
  <si>
    <t>C1, C2</t>
  </si>
  <si>
    <t>9-6437287-8</t>
  </si>
  <si>
    <t>D2, D3, D4, D5</t>
  </si>
  <si>
    <t>U3</t>
  </si>
  <si>
    <t>U1, U4, U5</t>
  </si>
  <si>
    <t>DS1, DS2, DS3, DS4, DS5, DS6, DS7</t>
  </si>
  <si>
    <t>R1, R2, R4, R5, R6, R7, R10, R16, R25</t>
  </si>
  <si>
    <t>R20, R28, R32, R37</t>
  </si>
  <si>
    <t>R24, R36</t>
  </si>
  <si>
    <t>R3, R9, R11, R14, R15, R21, R23, R26, R29, R33, R35</t>
  </si>
  <si>
    <t>R8, R12, R13, R27</t>
  </si>
  <si>
    <t>R19, R22, R31, R34</t>
  </si>
  <si>
    <t>R30</t>
  </si>
  <si>
    <t>R17, R18</t>
  </si>
  <si>
    <t>C91A, C91B, C91C, C91D, C91E, C91F, C91G, C92A, C92B, C92C, C92D, C92E, C92F, C92G</t>
  </si>
  <si>
    <t>C3, C48</t>
  </si>
  <si>
    <t>C10, C15, C17, C19, C21, C23, C25, C27, C29, C31, C35, C39, C42, C47, C55, C60, C62, C64, C66, C68, C70, C72, C74, C76, C78, C81, C84, C88</t>
  </si>
  <si>
    <t>C9, C40, C54, C85</t>
  </si>
  <si>
    <t>C11, C56</t>
  </si>
  <si>
    <t>C36, C42, C80, C86</t>
  </si>
  <si>
    <t>C1, C46</t>
  </si>
  <si>
    <t>2u2 16V X7R 0603</t>
  </si>
  <si>
    <t>C6, C7, C12, C14, C51, C52, C57, C59</t>
  </si>
  <si>
    <t>C2, C4, C5, C8, C13, C16, C18, C20, C22, C24, C26, C28, C30, C33, C38, C40, C44, C47, C48, C49, C50, C53, C58, C61, C63, C65, C67, C69, C71, C73, C75, C77, C79, C83, C87, C89</t>
  </si>
  <si>
    <t>C39, C49, C82, C90</t>
  </si>
  <si>
    <t>10162581-3134125LF</t>
  </si>
  <si>
    <t>J1, J2</t>
  </si>
  <si>
    <t>D1, D3</t>
  </si>
  <si>
    <t>D2, D4</t>
  </si>
  <si>
    <t>6.62002E+11</t>
  </si>
  <si>
    <t>FB1, FB2, FB3, FB4, FB5, FB6, FB7, FB8, FB9, FB10, FB11, FB12, FB13, FB14, FB15, FB16, FB17, FB18, FB19, FB20, FB21, FB22, FB23, FB24, FB25, FB26, FB27, FB28, FB29, FB30, FB31, FB32</t>
  </si>
  <si>
    <t>F1, F2, F3, F4, F5, F6, F7, F8, F9, F10, F11, F12, F13, F14, F15, F18, F20, F21, F22, F23, F24, F25, F26, F27, F28, F29, F30, F31, F32, F33, F34, F36, F39, F40</t>
  </si>
  <si>
    <t>T1, T2, T3</t>
  </si>
  <si>
    <t>R21, R24, R52, R60, R63, R101</t>
  </si>
  <si>
    <t>R1, R4, R7, R10, R13, R16, R19, R23, R27, R30, R34, R38, R41, R45, R49, R52, R55, R58, R62, R66, R69, R72, R75, R78, R81, R84, R87, R91, R95, R98</t>
  </si>
  <si>
    <t>R53, R102</t>
  </si>
  <si>
    <t>R3, R5, R9, R11, R15, R17, R22, R25, R29, R31, R37, R39, R44, R47, R54, R56, R61, R64, R68, R70, R74, R76, R80, R82, R86, R88, R94, R96</t>
  </si>
  <si>
    <t>R50, R99</t>
  </si>
  <si>
    <t>R2, R6, R8, R12, R14, R18, R20, R26, R28, R33, R35, R40, R42, R48, R53, R57, R59, R65, R67, R71, R73, R77, R79, R83, R85, R90, R92, R97</t>
  </si>
  <si>
    <t>R104A, R104B, R104C, R104D, R104E, R104F, R104G, R106A, R106B, R106C, R106D, R106E, R106F, R106G</t>
  </si>
  <si>
    <t>R103A, R103B, R103C, R103D, R103E, R103F, R103G, R105A, R105B, R105C, R105D, R105E, R105F, R105G</t>
  </si>
  <si>
    <t>R51, R100</t>
  </si>
  <si>
    <t>R41, R42, R89, R93</t>
  </si>
  <si>
    <t>Q2, Q4, Q6, Q8, Q10, Q12, Q14, Q18, Q20, Q22, Q24, Q26, Q28, Q30</t>
  </si>
  <si>
    <t>Q1, Q17</t>
  </si>
  <si>
    <t>Q16, Q32</t>
  </si>
  <si>
    <t>Q3, Q5, Q7, Q9, Q11, Q13, Q15, Q19, Q21, Q23, Q25, Q27, Q29, Q31</t>
  </si>
  <si>
    <t>J3_A, J3_B, J4_A, J4_B</t>
  </si>
  <si>
    <t>J1A, J1B, J2A, J2B</t>
  </si>
  <si>
    <t>J5A, J5B, J6A, J6B, J7A, J7B, J8A, J8B</t>
  </si>
  <si>
    <t>MP5_A, MP5_B, MP6_A, MP6_B, MP7_A, MP7_B, MP8_A, MP8_B, MP9_A, MP9_B, MP10_A, MP10_B</t>
  </si>
  <si>
    <t>LED Green TH</t>
  </si>
  <si>
    <t>DS6</t>
  </si>
  <si>
    <t>LED Red TH</t>
  </si>
  <si>
    <t>DS1, DS2, DS3, DS4</t>
  </si>
  <si>
    <t>LED Yellow TH</t>
  </si>
  <si>
    <t>DS5</t>
  </si>
  <si>
    <t>43045-0806</t>
  </si>
  <si>
    <t>C1</t>
  </si>
  <si>
    <t>J3</t>
  </si>
  <si>
    <t>D3, D4</t>
  </si>
  <si>
    <t>D9</t>
  </si>
  <si>
    <t>D1, D2</t>
  </si>
  <si>
    <t>D6</t>
  </si>
  <si>
    <t>D7</t>
  </si>
  <si>
    <t>9775036960</t>
  </si>
  <si>
    <t>K1, K4</t>
  </si>
  <si>
    <t>S1-12-BM</t>
  </si>
  <si>
    <t>K2, K3</t>
  </si>
  <si>
    <t>R3</t>
  </si>
  <si>
    <t>Placeholder 0603</t>
  </si>
  <si>
    <t>SW1, SW2</t>
  </si>
  <si>
    <t>C9A, C9B, C12, C13, C14, C15, C18, C20, C21, C23, C25, C27, C29, C30, C31, C37A, C37B, C38A, C38B, C41A, C41B, C41C, C41D, C41E, C41F</t>
  </si>
  <si>
    <t>C2, C6</t>
  </si>
  <si>
    <t>C24, C28, C43A, C43B, C43C, C43D</t>
  </si>
  <si>
    <t>C10A, C10B, C10C, C10D, C10E, C10F, C10G, C10H, C10I, C10J, C10K, C11A, C11B, C11C, C11D, C11E, C11F, C11G, C11H, C11I, C11J, C11K</t>
  </si>
  <si>
    <t>C3, C7</t>
  </si>
  <si>
    <t>C40A, C40B, C40C, C40D, C40E, C40F</t>
  </si>
  <si>
    <t>C22, C26</t>
  </si>
  <si>
    <t>C1, C5</t>
  </si>
  <si>
    <t>C32, C33, C34</t>
  </si>
  <si>
    <t>C35</t>
  </si>
  <si>
    <t>C17, C19</t>
  </si>
  <si>
    <t>C4, C8</t>
  </si>
  <si>
    <t>C36, C39A, C39B, C39C, C39D, C39E, C39F, C42A, C42B, C42C, C42D, C44A, C44B, C44C, C44D</t>
  </si>
  <si>
    <t>C16</t>
  </si>
  <si>
    <t>J2</t>
  </si>
  <si>
    <t>D2A, D2B, D2C, D2D, D2E, D2F, D2G, D2H, D2I, D2J, D2K</t>
  </si>
  <si>
    <t>D7A, D7B, D7C, D7D</t>
  </si>
  <si>
    <t>NUP2105L</t>
  </si>
  <si>
    <t>D1A, D1B</t>
  </si>
  <si>
    <t>D4</t>
  </si>
  <si>
    <t>U7</t>
  </si>
  <si>
    <t>U12A, U12B, U12C, U12D, U12E, U12F</t>
  </si>
  <si>
    <t>U6</t>
  </si>
  <si>
    <t>U13A, U13B, U13C, U13D</t>
  </si>
  <si>
    <t>U11A, U11B</t>
  </si>
  <si>
    <t>U4</t>
  </si>
  <si>
    <t>DS1, DS2, DS3, DS4, DS5, DS6, DS7, DS10</t>
  </si>
  <si>
    <t>DS8, DS9</t>
  </si>
  <si>
    <t>DS11A, DS11B, DS11C, DS11D</t>
  </si>
  <si>
    <t>R43A, R43B, R44A, R44B</t>
  </si>
  <si>
    <t>R7A, R7B, R20, R21, R42A, R42B, R45A, R45B</t>
  </si>
  <si>
    <t>R11A, R11B, R11C, R11D, R11E, R11F, R11G, R11H, R11I, R11J, R11K, R15A, R15B, R15C, R15D, R15E, R15F, R15G, R15H, R15I, R15J, R15K, R34</t>
  </si>
  <si>
    <t>R8A, R8B, R8C, R8D, R8E, R8F, R8G, R8H, R8I, R8J, R8K, R12A, R12B, R12C, R12D, R12E, R12F, R12G, R12H, R12I, R12J, R12K</t>
  </si>
  <si>
    <t>R33</t>
  </si>
  <si>
    <t>R27, R29</t>
  </si>
  <si>
    <t>R18, R19, R46A, R46B, R46C, R46D, R46E, R46F, R47A, R47B, R47C, R47D, R47E, R47F</t>
  </si>
  <si>
    <t>R28</t>
  </si>
  <si>
    <t>R22, R23, R24, R25, R48A, R48B, R48C, R48D</t>
  </si>
  <si>
    <t>R16A, R16B, R16C, R16D, R16E, R16F, R16G, R16H, R16I, R16J, R16K, R17A, R17B, R17C, R17D, R17E, R17F, R17G, R17H, R17I, R17J, R17K</t>
  </si>
  <si>
    <t>R36, R37, R38, R39, R40, R41</t>
  </si>
  <si>
    <t>R9A, R9B, R9C, R9D, R9E, R9F, R9G, R9H, R9I, R9J, R9K, R10A, R10B, R10C, R10D, R10E, R10F, R10G, R10H, R10I, R10J, R10K, R13A, R13B, R13C, R13D, R13E, R13F, R13G, R13H, R13I, R13J, R13K, R14A, R14B, R14C, R14D, R14E, R14F, R14G, R14H, R14I, R14J, R14K</t>
  </si>
  <si>
    <t>R26, R35</t>
  </si>
  <si>
    <t>R1</t>
  </si>
  <si>
    <t>C1, C2, C5</t>
  </si>
  <si>
    <t>C6A, C6B, C7A, C7B</t>
  </si>
  <si>
    <t>C4, C8, C9, C10</t>
  </si>
  <si>
    <t>J1, J3</t>
  </si>
  <si>
    <t>Jumper 2Way</t>
  </si>
  <si>
    <t>J4, J5</t>
  </si>
  <si>
    <t>824551121</t>
  </si>
  <si>
    <t>D2A, D2B</t>
  </si>
  <si>
    <t>U4A, U4B</t>
  </si>
  <si>
    <t>LM311</t>
  </si>
  <si>
    <t>L1A, L1B</t>
  </si>
  <si>
    <t>DS1</t>
  </si>
  <si>
    <t>DS2</t>
  </si>
  <si>
    <t>RSH3-1212S/H3</t>
  </si>
  <si>
    <t>PS1</t>
  </si>
  <si>
    <t>R30A, R30B</t>
  </si>
  <si>
    <t>R25, R26</t>
  </si>
  <si>
    <t>R29</t>
  </si>
  <si>
    <t>R1, R5, R6, R15, R20, R23</t>
  </si>
  <si>
    <t>R8, R11, R16, R19</t>
  </si>
  <si>
    <t>R2, R9, R10, R21</t>
  </si>
  <si>
    <t>R17</t>
  </si>
  <si>
    <t>R14</t>
  </si>
  <si>
    <t>R7, R12</t>
  </si>
  <si>
    <t>R27</t>
  </si>
  <si>
    <t>R22, R24</t>
  </si>
  <si>
    <t>27k 1% 0603</t>
  </si>
  <si>
    <t>R3, R13</t>
  </si>
  <si>
    <t>R4, R18</t>
  </si>
  <si>
    <t>Q3, Q5</t>
  </si>
  <si>
    <t>Q1, Q2</t>
  </si>
  <si>
    <t>61300411121</t>
  </si>
  <si>
    <t>XPEGRN-L1-0000-00B01</t>
  </si>
  <si>
    <t>DS5, DS6, DS7</t>
  </si>
  <si>
    <t>XPERED-L1-R250-00401</t>
  </si>
  <si>
    <t>C24</t>
  </si>
  <si>
    <t>C4, C10, C13A, C13B, C14A, C14B, C14C, C14D, C14E, C14F, C14G, C14H, C14I, C14J, C15, C18, C19, C20, C21, C22, C25</t>
  </si>
  <si>
    <t>C11, C12</t>
  </si>
  <si>
    <t>C9</t>
  </si>
  <si>
    <t>C2, C16, C17, C23</t>
  </si>
  <si>
    <t>D8A, D8B, D8C, D8D, D8E, D8F, D8G, D8H, D8I, D8J</t>
  </si>
  <si>
    <t>D7A, D7B</t>
  </si>
  <si>
    <t>U5A, U5B</t>
  </si>
  <si>
    <t>DS6A, DS6B, DS6C, DS6D, DS6E, DS6F, DS6G, DS6H, DS6I, DS6J</t>
  </si>
  <si>
    <t>DS3, DS4, DS5</t>
  </si>
  <si>
    <t>DS7</t>
  </si>
  <si>
    <t>K2</t>
  </si>
  <si>
    <t>K1</t>
  </si>
  <si>
    <t>R21A, R21B, R21C, R21D, R21E, R21F, R21G, R21H, R21I, R21J</t>
  </si>
  <si>
    <t>R22, R23, R24, R25, R26, R27, R28, R29</t>
  </si>
  <si>
    <t>R13</t>
  </si>
  <si>
    <t>R4, R5, R15, R16</t>
  </si>
  <si>
    <t>R12</t>
  </si>
  <si>
    <t>R18A, R18B</t>
  </si>
  <si>
    <t>R11</t>
  </si>
  <si>
    <t>R20A, R20B, R20C, R20D, R20E, R20F, R20G, R20H, R20I, R20J</t>
  </si>
  <si>
    <t>R19A, R19B, R19C, R19D, R19E, R19F, R19G, R19H, R19I, R19J</t>
  </si>
  <si>
    <t>BOARD SUMMARY</t>
  </si>
  <si>
    <t>Total Components</t>
  </si>
  <si>
    <t>Unique Components</t>
  </si>
  <si>
    <t>Oscillator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</si>
</sst>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ptos"/>
    </font>
    <font>
      <b/>
      <sz val="10"/>
      <color rgb="FF000000"/>
      <name val="Aptos"/>
    </font>
    <font>
      <sz val="10"/>
      <color rgb="FF000000"/>
      <name val="Aptos"/>
    </font>
    <font>
      <sz val="10"/>
      <color rgb="FFAAAAAA"/>
      <name val="Aptos"/>
    </font>
    <font>
      <b/>
      <sz val="10"/>
      <color rgb="FF1A2C5B"/>
      <name val="Aptos"/>
    </font>
    <font>
      <b/>
      <sz val="14"/>
      <color rgb="FFFFFFFF"/>
      <name val="Aptos"/>
    </font>
  </fonts>
  <fills count="16">
    <fill>
      <patternFill patternType="none"/>
    </fill>
    <fill>
      <patternFill patternType="gray125"/>
    </fill>
    <fill>
      <patternFill patternType="solid">
        <fgColor rgb="FF1A2C5B"/>
      </patternFill>
    </fill>
    <fill>
      <patternFill patternType="solid">
        <fgColor rgb="FFEEF2FB"/>
      </patternFill>
    </fill>
    <fill>
      <patternFill patternType="solid">
        <fgColor rgb="FFFFF2CC"/>
      </patternFill>
    </fill>
    <fill>
      <patternFill patternType="solid">
        <fgColor rgb="FFD6E4F0"/>
      </patternFill>
    </fill>
    <fill>
      <patternFill patternType="solid">
        <fgColor rgb="FFFFFFFF"/>
      </patternFill>
    </fill>
    <fill>
      <patternFill patternType="solid">
        <fgColor rgb="FFD9EAD3"/>
      </patternFill>
    </fill>
    <fill>
      <patternFill patternType="solid">
        <fgColor rgb="FFFCE4D6"/>
      </patternFill>
    </fill>
    <fill>
      <patternFill patternType="solid">
        <fgColor rgb="FFDDEEFF"/>
      </patternFill>
    </fill>
    <fill>
      <patternFill patternType="solid">
        <fgColor rgb="FFFDE9D9"/>
      </patternFill>
    </fill>
    <fill>
      <patternFill patternType="solid">
        <fgColor rgb="FFE8D5F5"/>
      </patternFill>
    </fill>
    <fill>
      <patternFill patternType="solid">
        <fgColor rgb="FFE2EFDA"/>
      </patternFill>
    </fill>
    <fill>
      <patternFill patternType="solid">
        <fgColor rgb="FFF4CCCC"/>
      </patternFill>
    </fill>
    <fill>
      <patternFill patternType="solid">
        <fgColor rgb="FFFFE5CC"/>
      </patternFill>
    </fill>
    <fill>
      <patternFill patternType="solid">
        <fgColor rgb="FFCFE2F3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7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0" customWidth="1"/>
    <col min="2" max="2" width="48" customWidth="1"/>
    <col min="3" max="3" width="13" customWidth="1"/>
    <col min="4" max="4" width="22" customWidth="1"/>
    <col min="5" max="16" width="13" customWidth="1"/>
    <col min="17" max="17" width="11" customWidth="1"/>
    <col min="18" max="18" width="13" customWidth="1"/>
  </cols>
  <sheetData>
    <row r="1" spans="1:18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5">
      <c r="A2" s="2" t="s">
        <v>18</v>
      </c>
      <c r="B2" s="3" t="s">
        <v>18</v>
      </c>
      <c r="C2" s="4" t="s">
        <v>19</v>
      </c>
      <c r="D2" s="3" t="s">
        <v>20</v>
      </c>
      <c r="E2" s="5" t="s">
        <v>21</v>
      </c>
      <c r="F2" s="6">
        <v>12</v>
      </c>
      <c r="G2" s="5" t="s">
        <v>21</v>
      </c>
      <c r="H2" s="5" t="s">
        <v>21</v>
      </c>
      <c r="I2" s="5" t="s">
        <v>21</v>
      </c>
      <c r="J2" s="5" t="s">
        <v>21</v>
      </c>
      <c r="K2" s="5" t="s">
        <v>21</v>
      </c>
      <c r="L2" s="5" t="s">
        <v>21</v>
      </c>
      <c r="M2" s="6">
        <v>25</v>
      </c>
      <c r="N2" s="5" t="s">
        <v>21</v>
      </c>
      <c r="O2" s="5" t="s">
        <v>21</v>
      </c>
      <c r="P2" s="5" t="s">
        <v>21</v>
      </c>
      <c r="Q2" s="7">
        <f t="shared" ref="Q2:Q33" si="0">SUMIF(E2:P2,"&gt;0")</f>
        <v>37</v>
      </c>
      <c r="R2" s="7">
        <f t="shared" ref="R2:R33" si="1">COUNTIF(E2:P2,"&gt;0")</f>
        <v>2</v>
      </c>
    </row>
    <row r="3" spans="1:18" x14ac:dyDescent="0.25">
      <c r="A3" s="8" t="s">
        <v>22</v>
      </c>
      <c r="B3" s="9" t="s">
        <v>22</v>
      </c>
      <c r="C3" s="4" t="s">
        <v>19</v>
      </c>
      <c r="D3" s="9" t="s">
        <v>23</v>
      </c>
      <c r="E3" s="10" t="s">
        <v>21</v>
      </c>
      <c r="F3" s="10" t="s">
        <v>21</v>
      </c>
      <c r="G3" s="10" t="s">
        <v>21</v>
      </c>
      <c r="H3" s="11">
        <v>4</v>
      </c>
      <c r="I3" s="10" t="s">
        <v>21</v>
      </c>
      <c r="J3" s="10" t="s">
        <v>21</v>
      </c>
      <c r="K3" s="10" t="s">
        <v>21</v>
      </c>
      <c r="L3" s="11">
        <v>1</v>
      </c>
      <c r="M3" s="10" t="s">
        <v>21</v>
      </c>
      <c r="N3" s="11">
        <v>3</v>
      </c>
      <c r="O3" s="10" t="s">
        <v>21</v>
      </c>
      <c r="P3" s="11">
        <v>1</v>
      </c>
      <c r="Q3" s="7">
        <f t="shared" si="0"/>
        <v>9</v>
      </c>
      <c r="R3" s="7">
        <f t="shared" si="1"/>
        <v>4</v>
      </c>
    </row>
    <row r="4" spans="1:18" x14ac:dyDescent="0.25">
      <c r="A4" s="2" t="s">
        <v>24</v>
      </c>
      <c r="B4" s="3" t="s">
        <v>24</v>
      </c>
      <c r="C4" s="4" t="s">
        <v>19</v>
      </c>
      <c r="D4" s="3" t="s">
        <v>25</v>
      </c>
      <c r="E4" s="5" t="s">
        <v>21</v>
      </c>
      <c r="F4" s="6">
        <v>20</v>
      </c>
      <c r="G4" s="6">
        <v>27</v>
      </c>
      <c r="H4" s="6">
        <v>7</v>
      </c>
      <c r="I4" s="5" t="s">
        <v>21</v>
      </c>
      <c r="J4" s="5" t="s">
        <v>21</v>
      </c>
      <c r="K4" s="5" t="s">
        <v>21</v>
      </c>
      <c r="L4" s="5" t="s">
        <v>21</v>
      </c>
      <c r="M4" s="6">
        <v>2</v>
      </c>
      <c r="N4" s="5" t="s">
        <v>21</v>
      </c>
      <c r="O4" s="5" t="s">
        <v>21</v>
      </c>
      <c r="P4" s="6">
        <v>21</v>
      </c>
      <c r="Q4" s="7">
        <f t="shared" si="0"/>
        <v>77</v>
      </c>
      <c r="R4" s="7">
        <f t="shared" si="1"/>
        <v>5</v>
      </c>
    </row>
    <row r="5" spans="1:18" x14ac:dyDescent="0.25">
      <c r="A5" s="8" t="s">
        <v>26</v>
      </c>
      <c r="B5" s="9" t="s">
        <v>26</v>
      </c>
      <c r="C5" s="4" t="s">
        <v>19</v>
      </c>
      <c r="D5" s="9" t="s">
        <v>27</v>
      </c>
      <c r="E5" s="10" t="s">
        <v>21</v>
      </c>
      <c r="F5" s="10" t="s">
        <v>21</v>
      </c>
      <c r="G5" s="10" t="s">
        <v>21</v>
      </c>
      <c r="H5" s="10" t="s">
        <v>21</v>
      </c>
      <c r="I5" s="11">
        <v>2</v>
      </c>
      <c r="J5" s="10" t="s">
        <v>21</v>
      </c>
      <c r="K5" s="10" t="s">
        <v>21</v>
      </c>
      <c r="L5" s="10" t="s">
        <v>21</v>
      </c>
      <c r="M5" s="10" t="s">
        <v>21</v>
      </c>
      <c r="N5" s="10" t="s">
        <v>21</v>
      </c>
      <c r="O5" s="10" t="s">
        <v>21</v>
      </c>
      <c r="P5" s="10" t="s">
        <v>21</v>
      </c>
      <c r="Q5" s="7">
        <f t="shared" si="0"/>
        <v>2</v>
      </c>
      <c r="R5" s="7">
        <f t="shared" si="1"/>
        <v>1</v>
      </c>
    </row>
    <row r="6" spans="1:18" x14ac:dyDescent="0.25">
      <c r="A6" s="2" t="s">
        <v>28</v>
      </c>
      <c r="B6" s="3" t="s">
        <v>28</v>
      </c>
      <c r="C6" s="4" t="s">
        <v>19</v>
      </c>
      <c r="D6" s="3" t="s">
        <v>29</v>
      </c>
      <c r="E6" s="5" t="s">
        <v>21</v>
      </c>
      <c r="F6" s="6">
        <v>2</v>
      </c>
      <c r="G6" s="5" t="s">
        <v>21</v>
      </c>
      <c r="H6" s="5" t="s">
        <v>21</v>
      </c>
      <c r="I6" s="5" t="s">
        <v>21</v>
      </c>
      <c r="J6" s="5" t="s">
        <v>21</v>
      </c>
      <c r="K6" s="5" t="s">
        <v>21</v>
      </c>
      <c r="L6" s="5" t="s">
        <v>21</v>
      </c>
      <c r="M6" s="6">
        <v>6</v>
      </c>
      <c r="N6" s="5" t="s">
        <v>21</v>
      </c>
      <c r="O6" s="5" t="s">
        <v>21</v>
      </c>
      <c r="P6" s="5" t="s">
        <v>21</v>
      </c>
      <c r="Q6" s="7">
        <f t="shared" si="0"/>
        <v>8</v>
      </c>
      <c r="R6" s="7">
        <f t="shared" si="1"/>
        <v>2</v>
      </c>
    </row>
    <row r="7" spans="1:18" x14ac:dyDescent="0.25">
      <c r="A7" s="8" t="s">
        <v>30</v>
      </c>
      <c r="B7" s="9" t="s">
        <v>31</v>
      </c>
      <c r="C7" s="4" t="s">
        <v>19</v>
      </c>
      <c r="D7" s="9" t="s">
        <v>32</v>
      </c>
      <c r="E7" s="10" t="s">
        <v>21</v>
      </c>
      <c r="F7" s="10" t="s">
        <v>21</v>
      </c>
      <c r="G7" s="10" t="s">
        <v>21</v>
      </c>
      <c r="H7" s="11">
        <v>2</v>
      </c>
      <c r="I7" s="10" t="s">
        <v>21</v>
      </c>
      <c r="J7" s="10" t="s">
        <v>21</v>
      </c>
      <c r="K7" s="10" t="s">
        <v>21</v>
      </c>
      <c r="L7" s="10" t="s">
        <v>21</v>
      </c>
      <c r="M7" s="11">
        <v>22</v>
      </c>
      <c r="N7" s="10" t="s">
        <v>21</v>
      </c>
      <c r="O7" s="10" t="s">
        <v>21</v>
      </c>
      <c r="P7" s="10" t="s">
        <v>21</v>
      </c>
      <c r="Q7" s="7">
        <f t="shared" si="0"/>
        <v>24</v>
      </c>
      <c r="R7" s="7">
        <f t="shared" si="1"/>
        <v>2</v>
      </c>
    </row>
    <row r="8" spans="1:18" x14ac:dyDescent="0.25">
      <c r="A8" s="2" t="s">
        <v>33</v>
      </c>
      <c r="B8" s="3" t="s">
        <v>33</v>
      </c>
      <c r="C8" s="4" t="s">
        <v>19</v>
      </c>
      <c r="D8" s="3" t="s">
        <v>34</v>
      </c>
      <c r="E8" s="5" t="s">
        <v>21</v>
      </c>
      <c r="F8" s="6">
        <v>2</v>
      </c>
      <c r="G8" s="5" t="s">
        <v>21</v>
      </c>
      <c r="H8" s="5" t="s">
        <v>21</v>
      </c>
      <c r="I8" s="6">
        <v>28</v>
      </c>
      <c r="J8" s="5" t="s">
        <v>21</v>
      </c>
      <c r="K8" s="5" t="s">
        <v>21</v>
      </c>
      <c r="L8" s="5" t="s">
        <v>21</v>
      </c>
      <c r="M8" s="5" t="s">
        <v>21</v>
      </c>
      <c r="N8" s="5" t="s">
        <v>21</v>
      </c>
      <c r="O8" s="5" t="s">
        <v>21</v>
      </c>
      <c r="P8" s="5" t="s">
        <v>21</v>
      </c>
      <c r="Q8" s="7">
        <f t="shared" si="0"/>
        <v>30</v>
      </c>
      <c r="R8" s="7">
        <f t="shared" si="1"/>
        <v>2</v>
      </c>
    </row>
    <row r="9" spans="1:18" x14ac:dyDescent="0.25">
      <c r="A9" s="8" t="s">
        <v>35</v>
      </c>
      <c r="B9" s="9" t="s">
        <v>35</v>
      </c>
      <c r="C9" s="4" t="s">
        <v>19</v>
      </c>
      <c r="D9" s="9" t="s">
        <v>36</v>
      </c>
      <c r="E9" s="10" t="s">
        <v>21</v>
      </c>
      <c r="F9" s="11">
        <v>2</v>
      </c>
      <c r="G9" s="11">
        <v>1</v>
      </c>
      <c r="H9" s="10" t="s">
        <v>21</v>
      </c>
      <c r="I9" s="10" t="s">
        <v>21</v>
      </c>
      <c r="J9" s="10" t="s">
        <v>21</v>
      </c>
      <c r="K9" s="10" t="s">
        <v>21</v>
      </c>
      <c r="L9" s="10" t="s">
        <v>21</v>
      </c>
      <c r="M9" s="11">
        <v>2</v>
      </c>
      <c r="N9" s="10" t="s">
        <v>21</v>
      </c>
      <c r="O9" s="10" t="s">
        <v>21</v>
      </c>
      <c r="P9" s="11">
        <v>1</v>
      </c>
      <c r="Q9" s="7">
        <f t="shared" si="0"/>
        <v>6</v>
      </c>
      <c r="R9" s="7">
        <f t="shared" si="1"/>
        <v>4</v>
      </c>
    </row>
    <row r="10" spans="1:18" x14ac:dyDescent="0.25">
      <c r="A10" s="2" t="s">
        <v>37</v>
      </c>
      <c r="B10" s="3" t="s">
        <v>37</v>
      </c>
      <c r="C10" s="4" t="s">
        <v>19</v>
      </c>
      <c r="D10" s="3" t="s">
        <v>38</v>
      </c>
      <c r="E10" s="6">
        <v>4</v>
      </c>
      <c r="F10" s="6">
        <v>6</v>
      </c>
      <c r="G10" s="6">
        <v>1</v>
      </c>
      <c r="H10" s="6">
        <v>2</v>
      </c>
      <c r="I10" s="5" t="s">
        <v>21</v>
      </c>
      <c r="J10" s="5" t="s">
        <v>21</v>
      </c>
      <c r="K10" s="5" t="s">
        <v>21</v>
      </c>
      <c r="L10" s="5" t="s">
        <v>21</v>
      </c>
      <c r="M10" s="6">
        <v>6</v>
      </c>
      <c r="N10" s="5" t="s">
        <v>21</v>
      </c>
      <c r="O10" s="5" t="s">
        <v>21</v>
      </c>
      <c r="P10" s="5" t="s">
        <v>21</v>
      </c>
      <c r="Q10" s="7">
        <f t="shared" si="0"/>
        <v>19</v>
      </c>
      <c r="R10" s="7">
        <f t="shared" si="1"/>
        <v>5</v>
      </c>
    </row>
    <row r="11" spans="1:18" x14ac:dyDescent="0.25">
      <c r="A11" s="8" t="s">
        <v>39</v>
      </c>
      <c r="B11" s="9" t="s">
        <v>39</v>
      </c>
      <c r="C11" s="4" t="s">
        <v>19</v>
      </c>
      <c r="D11" s="9" t="s">
        <v>40</v>
      </c>
      <c r="E11" s="10" t="s">
        <v>21</v>
      </c>
      <c r="F11" s="11">
        <v>2</v>
      </c>
      <c r="G11" s="10" t="s">
        <v>21</v>
      </c>
      <c r="H11" s="10" t="s">
        <v>21</v>
      </c>
      <c r="I11" s="10" t="s">
        <v>21</v>
      </c>
      <c r="J11" s="10" t="s">
        <v>21</v>
      </c>
      <c r="K11" s="10" t="s">
        <v>21</v>
      </c>
      <c r="L11" s="10" t="s">
        <v>21</v>
      </c>
      <c r="M11" s="11">
        <v>2</v>
      </c>
      <c r="N11" s="10" t="s">
        <v>21</v>
      </c>
      <c r="O11" s="10" t="s">
        <v>21</v>
      </c>
      <c r="P11" s="10" t="s">
        <v>21</v>
      </c>
      <c r="Q11" s="7">
        <f t="shared" si="0"/>
        <v>4</v>
      </c>
      <c r="R11" s="7">
        <f t="shared" si="1"/>
        <v>2</v>
      </c>
    </row>
    <row r="12" spans="1:18" x14ac:dyDescent="0.25">
      <c r="A12" s="2" t="s">
        <v>41</v>
      </c>
      <c r="B12" s="3" t="s">
        <v>42</v>
      </c>
      <c r="C12" s="4" t="s">
        <v>19</v>
      </c>
      <c r="D12" s="3" t="s">
        <v>43</v>
      </c>
      <c r="E12" s="5" t="s">
        <v>21</v>
      </c>
      <c r="F12" s="6">
        <v>2</v>
      </c>
      <c r="G12" s="5" t="s">
        <v>21</v>
      </c>
      <c r="H12" s="5" t="s">
        <v>21</v>
      </c>
      <c r="I12" s="6">
        <v>4</v>
      </c>
      <c r="J12" s="5" t="s">
        <v>21</v>
      </c>
      <c r="K12" s="5" t="s">
        <v>21</v>
      </c>
      <c r="L12" s="5" t="s">
        <v>21</v>
      </c>
      <c r="M12" s="5" t="s">
        <v>21</v>
      </c>
      <c r="N12" s="6">
        <v>1</v>
      </c>
      <c r="O12" s="5" t="s">
        <v>21</v>
      </c>
      <c r="P12" s="6">
        <v>2</v>
      </c>
      <c r="Q12" s="7">
        <f t="shared" si="0"/>
        <v>9</v>
      </c>
      <c r="R12" s="7">
        <f t="shared" si="1"/>
        <v>4</v>
      </c>
    </row>
    <row r="13" spans="1:18" x14ac:dyDescent="0.25">
      <c r="A13" s="8" t="s">
        <v>44</v>
      </c>
      <c r="B13" s="9" t="s">
        <v>44</v>
      </c>
      <c r="C13" s="4" t="s">
        <v>19</v>
      </c>
      <c r="D13" s="9" t="s">
        <v>45</v>
      </c>
      <c r="E13" s="10" t="s">
        <v>21</v>
      </c>
      <c r="F13" s="10" t="s">
        <v>21</v>
      </c>
      <c r="G13" s="10" t="s">
        <v>21</v>
      </c>
      <c r="H13" s="10" t="s">
        <v>21</v>
      </c>
      <c r="I13" s="10" t="s">
        <v>21</v>
      </c>
      <c r="J13" s="10" t="s">
        <v>21</v>
      </c>
      <c r="K13" s="10" t="s">
        <v>21</v>
      </c>
      <c r="L13" s="10" t="s">
        <v>21</v>
      </c>
      <c r="M13" s="10" t="s">
        <v>21</v>
      </c>
      <c r="N13" s="10" t="s">
        <v>21</v>
      </c>
      <c r="O13" s="10" t="s">
        <v>21</v>
      </c>
      <c r="P13" s="11">
        <v>3</v>
      </c>
      <c r="Q13" s="7">
        <f t="shared" si="0"/>
        <v>3</v>
      </c>
      <c r="R13" s="7">
        <f t="shared" si="1"/>
        <v>1</v>
      </c>
    </row>
    <row r="14" spans="1:18" x14ac:dyDescent="0.25">
      <c r="A14" s="2" t="s">
        <v>46</v>
      </c>
      <c r="B14" s="3" t="s">
        <v>46</v>
      </c>
      <c r="C14" s="4" t="s">
        <v>19</v>
      </c>
      <c r="D14" s="3" t="s">
        <v>47</v>
      </c>
      <c r="E14" s="5" t="s">
        <v>21</v>
      </c>
      <c r="F14" s="5" t="s">
        <v>21</v>
      </c>
      <c r="G14" s="5" t="s">
        <v>21</v>
      </c>
      <c r="H14" s="5" t="s">
        <v>21</v>
      </c>
      <c r="I14" s="6">
        <v>2</v>
      </c>
      <c r="J14" s="5" t="s">
        <v>21</v>
      </c>
      <c r="K14" s="5" t="s">
        <v>21</v>
      </c>
      <c r="L14" s="5" t="s">
        <v>21</v>
      </c>
      <c r="M14" s="5" t="s">
        <v>21</v>
      </c>
      <c r="N14" s="5" t="s">
        <v>21</v>
      </c>
      <c r="O14" s="5" t="s">
        <v>21</v>
      </c>
      <c r="P14" s="5" t="s">
        <v>21</v>
      </c>
      <c r="Q14" s="7">
        <f t="shared" si="0"/>
        <v>2</v>
      </c>
      <c r="R14" s="7">
        <f t="shared" si="1"/>
        <v>1</v>
      </c>
    </row>
    <row r="15" spans="1:18" x14ac:dyDescent="0.25">
      <c r="A15" s="8" t="s">
        <v>48</v>
      </c>
      <c r="B15" s="9" t="s">
        <v>49</v>
      </c>
      <c r="C15" s="4" t="s">
        <v>19</v>
      </c>
      <c r="D15" s="9" t="s">
        <v>50</v>
      </c>
      <c r="E15" s="10" t="s">
        <v>21</v>
      </c>
      <c r="F15" s="11">
        <v>3</v>
      </c>
      <c r="G15" s="10" t="s">
        <v>21</v>
      </c>
      <c r="H15" s="10" t="s">
        <v>21</v>
      </c>
      <c r="I15" s="10" t="s">
        <v>21</v>
      </c>
      <c r="J15" s="10" t="s">
        <v>21</v>
      </c>
      <c r="K15" s="10" t="s">
        <v>21</v>
      </c>
      <c r="L15" s="10" t="s">
        <v>21</v>
      </c>
      <c r="M15" s="10" t="s">
        <v>21</v>
      </c>
      <c r="N15" s="10" t="s">
        <v>21</v>
      </c>
      <c r="O15" s="10" t="s">
        <v>21</v>
      </c>
      <c r="P15" s="10" t="s">
        <v>21</v>
      </c>
      <c r="Q15" s="7">
        <f t="shared" si="0"/>
        <v>3</v>
      </c>
      <c r="R15" s="7">
        <f t="shared" si="1"/>
        <v>1</v>
      </c>
    </row>
    <row r="16" spans="1:18" x14ac:dyDescent="0.25">
      <c r="A16" s="2" t="s">
        <v>51</v>
      </c>
      <c r="B16" s="3" t="s">
        <v>51</v>
      </c>
      <c r="C16" s="4" t="s">
        <v>19</v>
      </c>
      <c r="D16" s="3" t="s">
        <v>52</v>
      </c>
      <c r="E16" s="5" t="s">
        <v>21</v>
      </c>
      <c r="F16" s="6">
        <v>4</v>
      </c>
      <c r="G16" s="5" t="s">
        <v>21</v>
      </c>
      <c r="H16" s="5" t="s">
        <v>21</v>
      </c>
      <c r="I16" s="5" t="s">
        <v>21</v>
      </c>
      <c r="J16" s="5" t="s">
        <v>21</v>
      </c>
      <c r="K16" s="5" t="s">
        <v>21</v>
      </c>
      <c r="L16" s="5" t="s">
        <v>21</v>
      </c>
      <c r="M16" s="5" t="s">
        <v>21</v>
      </c>
      <c r="N16" s="5" t="s">
        <v>21</v>
      </c>
      <c r="O16" s="5" t="s">
        <v>21</v>
      </c>
      <c r="P16" s="5" t="s">
        <v>21</v>
      </c>
      <c r="Q16" s="7">
        <f t="shared" si="0"/>
        <v>4</v>
      </c>
      <c r="R16" s="7">
        <f t="shared" si="1"/>
        <v>1</v>
      </c>
    </row>
    <row r="17" spans="1:18" x14ac:dyDescent="0.25">
      <c r="A17" s="8" t="s">
        <v>53</v>
      </c>
      <c r="B17" s="9" t="s">
        <v>53</v>
      </c>
      <c r="C17" s="4" t="s">
        <v>19</v>
      </c>
      <c r="D17" s="9" t="s">
        <v>54</v>
      </c>
      <c r="E17" s="10" t="s">
        <v>21</v>
      </c>
      <c r="F17" s="10" t="s">
        <v>21</v>
      </c>
      <c r="G17" s="10" t="s">
        <v>21</v>
      </c>
      <c r="H17" s="10" t="s">
        <v>21</v>
      </c>
      <c r="I17" s="11">
        <v>4</v>
      </c>
      <c r="J17" s="10" t="s">
        <v>21</v>
      </c>
      <c r="K17" s="10" t="s">
        <v>21</v>
      </c>
      <c r="L17" s="10" t="s">
        <v>21</v>
      </c>
      <c r="M17" s="10" t="s">
        <v>21</v>
      </c>
      <c r="N17" s="10" t="s">
        <v>21</v>
      </c>
      <c r="O17" s="10" t="s">
        <v>21</v>
      </c>
      <c r="P17" s="10" t="s">
        <v>21</v>
      </c>
      <c r="Q17" s="7">
        <f t="shared" si="0"/>
        <v>4</v>
      </c>
      <c r="R17" s="7">
        <f t="shared" si="1"/>
        <v>1</v>
      </c>
    </row>
    <row r="18" spans="1:18" x14ac:dyDescent="0.25">
      <c r="A18" s="2" t="s">
        <v>55</v>
      </c>
      <c r="B18" s="3" t="s">
        <v>55</v>
      </c>
      <c r="C18" s="4" t="s">
        <v>19</v>
      </c>
      <c r="D18" s="3" t="s">
        <v>56</v>
      </c>
      <c r="E18" s="5" t="s">
        <v>21</v>
      </c>
      <c r="F18" s="5" t="s">
        <v>21</v>
      </c>
      <c r="G18" s="6">
        <v>3</v>
      </c>
      <c r="H18" s="5" t="s">
        <v>21</v>
      </c>
      <c r="I18" s="5" t="s">
        <v>21</v>
      </c>
      <c r="J18" s="5" t="s">
        <v>21</v>
      </c>
      <c r="K18" s="5" t="s">
        <v>21</v>
      </c>
      <c r="L18" s="5" t="s">
        <v>21</v>
      </c>
      <c r="M18" s="5" t="s">
        <v>21</v>
      </c>
      <c r="N18" s="5" t="s">
        <v>21</v>
      </c>
      <c r="O18" s="5" t="s">
        <v>21</v>
      </c>
      <c r="P18" s="5" t="s">
        <v>21</v>
      </c>
      <c r="Q18" s="7">
        <f t="shared" si="0"/>
        <v>3</v>
      </c>
      <c r="R18" s="7">
        <f t="shared" si="1"/>
        <v>1</v>
      </c>
    </row>
    <row r="19" spans="1:18" x14ac:dyDescent="0.25">
      <c r="A19" s="8" t="s">
        <v>57</v>
      </c>
      <c r="B19" s="9" t="s">
        <v>57</v>
      </c>
      <c r="C19" s="4" t="s">
        <v>19</v>
      </c>
      <c r="D19" s="9" t="s">
        <v>58</v>
      </c>
      <c r="E19" s="10" t="s">
        <v>21</v>
      </c>
      <c r="F19" s="10" t="s">
        <v>21</v>
      </c>
      <c r="G19" s="11">
        <v>1</v>
      </c>
      <c r="H19" s="10" t="s">
        <v>21</v>
      </c>
      <c r="I19" s="10" t="s">
        <v>21</v>
      </c>
      <c r="J19" s="10" t="s">
        <v>21</v>
      </c>
      <c r="K19" s="10" t="s">
        <v>21</v>
      </c>
      <c r="L19" s="10" t="s">
        <v>21</v>
      </c>
      <c r="M19" s="10" t="s">
        <v>21</v>
      </c>
      <c r="N19" s="10" t="s">
        <v>21</v>
      </c>
      <c r="O19" s="10" t="s">
        <v>21</v>
      </c>
      <c r="P19" s="10" t="s">
        <v>21</v>
      </c>
      <c r="Q19" s="7">
        <f t="shared" si="0"/>
        <v>1</v>
      </c>
      <c r="R19" s="7">
        <f t="shared" si="1"/>
        <v>1</v>
      </c>
    </row>
    <row r="20" spans="1:18" x14ac:dyDescent="0.25">
      <c r="A20" s="2" t="s">
        <v>59</v>
      </c>
      <c r="B20" s="3" t="s">
        <v>59</v>
      </c>
      <c r="C20" s="4" t="s">
        <v>19</v>
      </c>
      <c r="D20" s="3" t="s">
        <v>60</v>
      </c>
      <c r="E20" s="5" t="s">
        <v>21</v>
      </c>
      <c r="F20" s="6">
        <v>2</v>
      </c>
      <c r="G20" s="5" t="s">
        <v>21</v>
      </c>
      <c r="H20" s="5" t="s">
        <v>21</v>
      </c>
      <c r="I20" s="6">
        <v>2</v>
      </c>
      <c r="J20" s="5" t="s">
        <v>21</v>
      </c>
      <c r="K20" s="5" t="s">
        <v>21</v>
      </c>
      <c r="L20" s="5" t="s">
        <v>21</v>
      </c>
      <c r="M20" s="6">
        <v>2</v>
      </c>
      <c r="N20" s="5" t="s">
        <v>21</v>
      </c>
      <c r="O20" s="5" t="s">
        <v>21</v>
      </c>
      <c r="P20" s="5" t="s">
        <v>21</v>
      </c>
      <c r="Q20" s="7">
        <f t="shared" si="0"/>
        <v>6</v>
      </c>
      <c r="R20" s="7">
        <f t="shared" si="1"/>
        <v>3</v>
      </c>
    </row>
    <row r="21" spans="1:18" x14ac:dyDescent="0.25">
      <c r="A21" s="8" t="s">
        <v>61</v>
      </c>
      <c r="B21" s="9" t="s">
        <v>61</v>
      </c>
      <c r="C21" s="4" t="s">
        <v>19</v>
      </c>
      <c r="D21" s="9" t="s">
        <v>62</v>
      </c>
      <c r="E21" s="10" t="s">
        <v>21</v>
      </c>
      <c r="F21" s="11">
        <v>3</v>
      </c>
      <c r="G21" s="11">
        <v>1</v>
      </c>
      <c r="H21" s="10" t="s">
        <v>21</v>
      </c>
      <c r="I21" s="10" t="s">
        <v>21</v>
      </c>
      <c r="J21" s="10" t="s">
        <v>21</v>
      </c>
      <c r="K21" s="10" t="s">
        <v>21</v>
      </c>
      <c r="L21" s="11">
        <v>1</v>
      </c>
      <c r="M21" s="10" t="s">
        <v>21</v>
      </c>
      <c r="N21" s="10" t="s">
        <v>21</v>
      </c>
      <c r="O21" s="10" t="s">
        <v>21</v>
      </c>
      <c r="P21" s="10" t="s">
        <v>21</v>
      </c>
      <c r="Q21" s="7">
        <f t="shared" si="0"/>
        <v>5</v>
      </c>
      <c r="R21" s="7">
        <f t="shared" si="1"/>
        <v>3</v>
      </c>
    </row>
    <row r="22" spans="1:18" x14ac:dyDescent="0.25">
      <c r="A22" s="2" t="s">
        <v>63</v>
      </c>
      <c r="B22" s="3" t="s">
        <v>64</v>
      </c>
      <c r="C22" s="4" t="s">
        <v>19</v>
      </c>
      <c r="D22" s="3" t="s">
        <v>63</v>
      </c>
      <c r="E22" s="5" t="s">
        <v>21</v>
      </c>
      <c r="F22" s="5" t="s">
        <v>21</v>
      </c>
      <c r="G22" s="5" t="s">
        <v>21</v>
      </c>
      <c r="H22" s="5" t="s">
        <v>21</v>
      </c>
      <c r="I22" s="5" t="s">
        <v>21</v>
      </c>
      <c r="J22" s="5" t="s">
        <v>21</v>
      </c>
      <c r="K22" s="5" t="s">
        <v>21</v>
      </c>
      <c r="L22" s="5" t="s">
        <v>21</v>
      </c>
      <c r="M22" s="6">
        <v>3</v>
      </c>
      <c r="N22" s="5" t="s">
        <v>21</v>
      </c>
      <c r="O22" s="5" t="s">
        <v>21</v>
      </c>
      <c r="P22" s="6">
        <v>1</v>
      </c>
      <c r="Q22" s="7">
        <f t="shared" si="0"/>
        <v>4</v>
      </c>
      <c r="R22" s="7">
        <f t="shared" si="1"/>
        <v>2</v>
      </c>
    </row>
    <row r="23" spans="1:18" x14ac:dyDescent="0.25">
      <c r="A23" s="8" t="s">
        <v>65</v>
      </c>
      <c r="B23" s="9" t="s">
        <v>66</v>
      </c>
      <c r="C23" s="4" t="s">
        <v>19</v>
      </c>
      <c r="D23" s="9" t="s">
        <v>67</v>
      </c>
      <c r="E23" s="10" t="s">
        <v>21</v>
      </c>
      <c r="F23" s="11">
        <v>1</v>
      </c>
      <c r="G23" s="10" t="s">
        <v>21</v>
      </c>
      <c r="H23" s="10" t="s">
        <v>21</v>
      </c>
      <c r="I23" s="10" t="s">
        <v>21</v>
      </c>
      <c r="J23" s="10" t="s">
        <v>21</v>
      </c>
      <c r="K23" s="10" t="s">
        <v>21</v>
      </c>
      <c r="L23" s="10" t="s">
        <v>21</v>
      </c>
      <c r="M23" s="11">
        <v>1</v>
      </c>
      <c r="N23" s="10" t="s">
        <v>21</v>
      </c>
      <c r="O23" s="10" t="s">
        <v>21</v>
      </c>
      <c r="P23" s="11">
        <v>1</v>
      </c>
      <c r="Q23" s="7">
        <f t="shared" si="0"/>
        <v>3</v>
      </c>
      <c r="R23" s="7">
        <f t="shared" si="1"/>
        <v>3</v>
      </c>
    </row>
    <row r="24" spans="1:18" x14ac:dyDescent="0.25">
      <c r="A24" s="2" t="s">
        <v>68</v>
      </c>
      <c r="B24" s="3" t="s">
        <v>68</v>
      </c>
      <c r="C24" s="4" t="s">
        <v>19</v>
      </c>
      <c r="D24" s="3" t="s">
        <v>69</v>
      </c>
      <c r="E24" s="5" t="s">
        <v>21</v>
      </c>
      <c r="F24" s="5" t="s">
        <v>21</v>
      </c>
      <c r="G24" s="5" t="s">
        <v>21</v>
      </c>
      <c r="H24" s="5" t="s">
        <v>21</v>
      </c>
      <c r="I24" s="6">
        <v>36</v>
      </c>
      <c r="J24" s="5" t="s">
        <v>21</v>
      </c>
      <c r="K24" s="5" t="s">
        <v>21</v>
      </c>
      <c r="L24" s="5" t="s">
        <v>21</v>
      </c>
      <c r="M24" s="5" t="s">
        <v>21</v>
      </c>
      <c r="N24" s="5" t="s">
        <v>21</v>
      </c>
      <c r="O24" s="5" t="s">
        <v>21</v>
      </c>
      <c r="P24" s="5" t="s">
        <v>21</v>
      </c>
      <c r="Q24" s="7">
        <f t="shared" si="0"/>
        <v>36</v>
      </c>
      <c r="R24" s="7">
        <f t="shared" si="1"/>
        <v>1</v>
      </c>
    </row>
    <row r="25" spans="1:18" x14ac:dyDescent="0.25">
      <c r="A25" s="8" t="s">
        <v>70</v>
      </c>
      <c r="B25" s="9" t="s">
        <v>71</v>
      </c>
      <c r="C25" s="4" t="s">
        <v>19</v>
      </c>
      <c r="D25" s="9" t="s">
        <v>72</v>
      </c>
      <c r="E25" s="10" t="s">
        <v>21</v>
      </c>
      <c r="F25" s="10" t="s">
        <v>21</v>
      </c>
      <c r="G25" s="11">
        <v>1</v>
      </c>
      <c r="H25" s="10" t="s">
        <v>21</v>
      </c>
      <c r="I25" s="10" t="s">
        <v>21</v>
      </c>
      <c r="J25" s="10" t="s">
        <v>21</v>
      </c>
      <c r="K25" s="10" t="s">
        <v>21</v>
      </c>
      <c r="L25" s="10" t="s">
        <v>21</v>
      </c>
      <c r="M25" s="10" t="s">
        <v>21</v>
      </c>
      <c r="N25" s="10" t="s">
        <v>21</v>
      </c>
      <c r="O25" s="10" t="s">
        <v>21</v>
      </c>
      <c r="P25" s="10" t="s">
        <v>21</v>
      </c>
      <c r="Q25" s="7">
        <f t="shared" si="0"/>
        <v>1</v>
      </c>
      <c r="R25" s="7">
        <f t="shared" si="1"/>
        <v>1</v>
      </c>
    </row>
    <row r="26" spans="1:18" x14ac:dyDescent="0.25">
      <c r="A26" s="2" t="s">
        <v>73</v>
      </c>
      <c r="B26" s="3" t="s">
        <v>73</v>
      </c>
      <c r="C26" s="4" t="s">
        <v>19</v>
      </c>
      <c r="D26" s="3" t="s">
        <v>74</v>
      </c>
      <c r="E26" s="5" t="s">
        <v>21</v>
      </c>
      <c r="F26" s="6">
        <v>2</v>
      </c>
      <c r="G26" s="5" t="s">
        <v>21</v>
      </c>
      <c r="H26" s="5" t="s">
        <v>21</v>
      </c>
      <c r="I26" s="5" t="s">
        <v>21</v>
      </c>
      <c r="J26" s="5" t="s">
        <v>21</v>
      </c>
      <c r="K26" s="5" t="s">
        <v>21</v>
      </c>
      <c r="L26" s="5" t="s">
        <v>21</v>
      </c>
      <c r="M26" s="6">
        <v>2</v>
      </c>
      <c r="N26" s="5" t="s">
        <v>21</v>
      </c>
      <c r="O26" s="5" t="s">
        <v>21</v>
      </c>
      <c r="P26" s="5" t="s">
        <v>21</v>
      </c>
      <c r="Q26" s="7">
        <f t="shared" si="0"/>
        <v>4</v>
      </c>
      <c r="R26" s="7">
        <f t="shared" si="1"/>
        <v>2</v>
      </c>
    </row>
    <row r="27" spans="1:18" x14ac:dyDescent="0.25">
      <c r="A27" s="8" t="s">
        <v>75</v>
      </c>
      <c r="B27" s="9" t="s">
        <v>75</v>
      </c>
      <c r="C27" s="4" t="s">
        <v>19</v>
      </c>
      <c r="D27" s="9" t="s">
        <v>76</v>
      </c>
      <c r="E27" s="10" t="s">
        <v>21</v>
      </c>
      <c r="F27" s="11">
        <v>2</v>
      </c>
      <c r="G27" s="10" t="s">
        <v>21</v>
      </c>
      <c r="H27" s="10" t="s">
        <v>21</v>
      </c>
      <c r="I27" s="10" t="s">
        <v>21</v>
      </c>
      <c r="J27" s="10" t="s">
        <v>21</v>
      </c>
      <c r="K27" s="10" t="s">
        <v>21</v>
      </c>
      <c r="L27" s="10" t="s">
        <v>21</v>
      </c>
      <c r="M27" s="11">
        <v>2</v>
      </c>
      <c r="N27" s="10" t="s">
        <v>21</v>
      </c>
      <c r="O27" s="10" t="s">
        <v>21</v>
      </c>
      <c r="P27" s="11">
        <v>1</v>
      </c>
      <c r="Q27" s="7">
        <f t="shared" si="0"/>
        <v>5</v>
      </c>
      <c r="R27" s="7">
        <f t="shared" si="1"/>
        <v>3</v>
      </c>
    </row>
    <row r="28" spans="1:18" x14ac:dyDescent="0.25">
      <c r="A28" s="2" t="s">
        <v>77</v>
      </c>
      <c r="B28" s="3" t="s">
        <v>78</v>
      </c>
      <c r="C28" s="4" t="s">
        <v>19</v>
      </c>
      <c r="D28" s="3" t="s">
        <v>79</v>
      </c>
      <c r="E28" s="5" t="s">
        <v>21</v>
      </c>
      <c r="F28" s="6">
        <v>1</v>
      </c>
      <c r="G28" s="5" t="s">
        <v>21</v>
      </c>
      <c r="H28" s="5" t="s">
        <v>21</v>
      </c>
      <c r="I28" s="5" t="s">
        <v>21</v>
      </c>
      <c r="J28" s="5" t="s">
        <v>21</v>
      </c>
      <c r="K28" s="5" t="s">
        <v>21</v>
      </c>
      <c r="L28" s="5" t="s">
        <v>21</v>
      </c>
      <c r="M28" s="6">
        <v>15</v>
      </c>
      <c r="N28" s="5" t="s">
        <v>21</v>
      </c>
      <c r="O28" s="5" t="s">
        <v>21</v>
      </c>
      <c r="P28" s="5" t="s">
        <v>21</v>
      </c>
      <c r="Q28" s="7">
        <f t="shared" si="0"/>
        <v>16</v>
      </c>
      <c r="R28" s="7">
        <f t="shared" si="1"/>
        <v>2</v>
      </c>
    </row>
    <row r="29" spans="1:18" x14ac:dyDescent="0.25">
      <c r="A29" s="8" t="s">
        <v>80</v>
      </c>
      <c r="B29" s="9" t="s">
        <v>78</v>
      </c>
      <c r="C29" s="4" t="s">
        <v>19</v>
      </c>
      <c r="D29" s="9" t="s">
        <v>79</v>
      </c>
      <c r="E29" s="10" t="s">
        <v>21</v>
      </c>
      <c r="F29" s="10" t="s">
        <v>21</v>
      </c>
      <c r="G29" s="10" t="s">
        <v>21</v>
      </c>
      <c r="H29" s="10" t="s">
        <v>21</v>
      </c>
      <c r="I29" s="10" t="s">
        <v>21</v>
      </c>
      <c r="J29" s="10" t="s">
        <v>21</v>
      </c>
      <c r="K29" s="10" t="s">
        <v>21</v>
      </c>
      <c r="L29" s="10" t="s">
        <v>21</v>
      </c>
      <c r="M29" s="10" t="s">
        <v>21</v>
      </c>
      <c r="N29" s="10" t="s">
        <v>21</v>
      </c>
      <c r="O29" s="10" t="s">
        <v>21</v>
      </c>
      <c r="P29" s="11">
        <v>4</v>
      </c>
      <c r="Q29" s="7">
        <f t="shared" si="0"/>
        <v>4</v>
      </c>
      <c r="R29" s="7">
        <f t="shared" si="1"/>
        <v>1</v>
      </c>
    </row>
    <row r="30" spans="1:18" x14ac:dyDescent="0.25">
      <c r="A30" s="2" t="s">
        <v>81</v>
      </c>
      <c r="B30" s="3" t="s">
        <v>81</v>
      </c>
      <c r="C30" s="4" t="s">
        <v>19</v>
      </c>
      <c r="D30" s="3" t="s">
        <v>82</v>
      </c>
      <c r="E30" s="5" t="s">
        <v>21</v>
      </c>
      <c r="F30" s="6">
        <v>2</v>
      </c>
      <c r="G30" s="5" t="s">
        <v>21</v>
      </c>
      <c r="H30" s="5" t="s">
        <v>21</v>
      </c>
      <c r="I30" s="5" t="s">
        <v>21</v>
      </c>
      <c r="J30" s="5" t="s">
        <v>21</v>
      </c>
      <c r="K30" s="5" t="s">
        <v>21</v>
      </c>
      <c r="L30" s="5" t="s">
        <v>21</v>
      </c>
      <c r="M30" s="5" t="s">
        <v>21</v>
      </c>
      <c r="N30" s="5" t="s">
        <v>21</v>
      </c>
      <c r="O30" s="5" t="s">
        <v>21</v>
      </c>
      <c r="P30" s="5" t="s">
        <v>21</v>
      </c>
      <c r="Q30" s="7">
        <f t="shared" si="0"/>
        <v>2</v>
      </c>
      <c r="R30" s="7">
        <f t="shared" si="1"/>
        <v>1</v>
      </c>
    </row>
    <row r="31" spans="1:18" x14ac:dyDescent="0.25">
      <c r="A31" s="8" t="s">
        <v>83</v>
      </c>
      <c r="B31" s="9" t="s">
        <v>83</v>
      </c>
      <c r="C31" s="4" t="s">
        <v>19</v>
      </c>
      <c r="D31" s="9" t="s">
        <v>54</v>
      </c>
      <c r="E31" s="10" t="s">
        <v>21</v>
      </c>
      <c r="F31" s="10" t="s">
        <v>21</v>
      </c>
      <c r="G31" s="10" t="s">
        <v>21</v>
      </c>
      <c r="H31" s="10" t="s">
        <v>21</v>
      </c>
      <c r="I31" s="11">
        <v>4</v>
      </c>
      <c r="J31" s="10" t="s">
        <v>21</v>
      </c>
      <c r="K31" s="10" t="s">
        <v>21</v>
      </c>
      <c r="L31" s="10" t="s">
        <v>21</v>
      </c>
      <c r="M31" s="10" t="s">
        <v>21</v>
      </c>
      <c r="N31" s="10" t="s">
        <v>21</v>
      </c>
      <c r="O31" s="10" t="s">
        <v>21</v>
      </c>
      <c r="P31" s="10" t="s">
        <v>21</v>
      </c>
      <c r="Q31" s="7">
        <f t="shared" si="0"/>
        <v>4</v>
      </c>
      <c r="R31" s="7">
        <f t="shared" si="1"/>
        <v>1</v>
      </c>
    </row>
    <row r="32" spans="1:18" x14ac:dyDescent="0.25">
      <c r="A32" s="2" t="s">
        <v>84</v>
      </c>
      <c r="B32" s="3" t="s">
        <v>85</v>
      </c>
      <c r="C32" s="4" t="s">
        <v>19</v>
      </c>
      <c r="D32" s="3" t="s">
        <v>84</v>
      </c>
      <c r="E32" s="5" t="s">
        <v>21</v>
      </c>
      <c r="F32" s="6">
        <v>3</v>
      </c>
      <c r="G32" s="5" t="s">
        <v>21</v>
      </c>
      <c r="H32" s="5" t="s">
        <v>21</v>
      </c>
      <c r="I32" s="5" t="s">
        <v>21</v>
      </c>
      <c r="J32" s="5" t="s">
        <v>21</v>
      </c>
      <c r="K32" s="5" t="s">
        <v>21</v>
      </c>
      <c r="L32" s="5" t="s">
        <v>21</v>
      </c>
      <c r="M32" s="5" t="s">
        <v>21</v>
      </c>
      <c r="N32" s="5" t="s">
        <v>21</v>
      </c>
      <c r="O32" s="5" t="s">
        <v>21</v>
      </c>
      <c r="P32" s="5" t="s">
        <v>21</v>
      </c>
      <c r="Q32" s="7">
        <f t="shared" si="0"/>
        <v>3</v>
      </c>
      <c r="R32" s="7">
        <f t="shared" si="1"/>
        <v>1</v>
      </c>
    </row>
    <row r="33" spans="1:18" x14ac:dyDescent="0.25">
      <c r="A33" s="8" t="s">
        <v>86</v>
      </c>
      <c r="B33" s="9" t="s">
        <v>87</v>
      </c>
      <c r="C33" s="4" t="s">
        <v>19</v>
      </c>
      <c r="D33" s="9" t="s">
        <v>86</v>
      </c>
      <c r="E33" s="10" t="s">
        <v>21</v>
      </c>
      <c r="F33" s="10" t="s">
        <v>21</v>
      </c>
      <c r="G33" s="11">
        <v>1</v>
      </c>
      <c r="H33" s="10" t="s">
        <v>21</v>
      </c>
      <c r="I33" s="10" t="s">
        <v>21</v>
      </c>
      <c r="J33" s="10" t="s">
        <v>21</v>
      </c>
      <c r="K33" s="10" t="s">
        <v>21</v>
      </c>
      <c r="L33" s="10" t="s">
        <v>21</v>
      </c>
      <c r="M33" s="10" t="s">
        <v>21</v>
      </c>
      <c r="N33" s="10" t="s">
        <v>21</v>
      </c>
      <c r="O33" s="10" t="s">
        <v>21</v>
      </c>
      <c r="P33" s="10" t="s">
        <v>21</v>
      </c>
      <c r="Q33" s="7">
        <f t="shared" si="0"/>
        <v>1</v>
      </c>
      <c r="R33" s="7">
        <f t="shared" si="1"/>
        <v>1</v>
      </c>
    </row>
    <row r="34" spans="1:18" x14ac:dyDescent="0.25">
      <c r="A34" s="2" t="s">
        <v>88</v>
      </c>
      <c r="B34" s="3" t="s">
        <v>89</v>
      </c>
      <c r="C34" s="4" t="s">
        <v>19</v>
      </c>
      <c r="D34" s="3" t="s">
        <v>88</v>
      </c>
      <c r="E34" s="5" t="s">
        <v>21</v>
      </c>
      <c r="F34" s="5" t="s">
        <v>21</v>
      </c>
      <c r="G34" s="5" t="s">
        <v>21</v>
      </c>
      <c r="H34" s="5" t="s">
        <v>21</v>
      </c>
      <c r="I34" s="5" t="s">
        <v>21</v>
      </c>
      <c r="J34" s="5" t="s">
        <v>21</v>
      </c>
      <c r="K34" s="5" t="s">
        <v>21</v>
      </c>
      <c r="L34" s="5" t="s">
        <v>21</v>
      </c>
      <c r="M34" s="6">
        <v>1</v>
      </c>
      <c r="N34" s="5" t="s">
        <v>21</v>
      </c>
      <c r="O34" s="5" t="s">
        <v>21</v>
      </c>
      <c r="P34" s="5" t="s">
        <v>21</v>
      </c>
      <c r="Q34" s="7">
        <f t="shared" ref="Q34:Q65" si="2">SUMIF(E34:P34,"&gt;0")</f>
        <v>1</v>
      </c>
      <c r="R34" s="7">
        <f t="shared" ref="R34:R65" si="3">COUNTIF(E34:P34,"&gt;0")</f>
        <v>1</v>
      </c>
    </row>
    <row r="35" spans="1:18" x14ac:dyDescent="0.25">
      <c r="A35" s="8" t="s">
        <v>90</v>
      </c>
      <c r="B35" s="9" t="s">
        <v>91</v>
      </c>
      <c r="C35" s="12" t="s">
        <v>92</v>
      </c>
      <c r="D35" s="9" t="s">
        <v>90</v>
      </c>
      <c r="E35" s="10" t="s">
        <v>21</v>
      </c>
      <c r="F35" s="10" t="s">
        <v>21</v>
      </c>
      <c r="G35" s="10" t="s">
        <v>21</v>
      </c>
      <c r="H35" s="10" t="s">
        <v>21</v>
      </c>
      <c r="I35" s="10" t="s">
        <v>21</v>
      </c>
      <c r="J35" s="11">
        <v>4</v>
      </c>
      <c r="K35" s="10" t="s">
        <v>21</v>
      </c>
      <c r="L35" s="10" t="s">
        <v>21</v>
      </c>
      <c r="M35" s="10" t="s">
        <v>21</v>
      </c>
      <c r="N35" s="10" t="s">
        <v>21</v>
      </c>
      <c r="O35" s="10" t="s">
        <v>21</v>
      </c>
      <c r="P35" s="10" t="s">
        <v>21</v>
      </c>
      <c r="Q35" s="7">
        <f t="shared" si="2"/>
        <v>4</v>
      </c>
      <c r="R35" s="7">
        <f t="shared" si="3"/>
        <v>1</v>
      </c>
    </row>
    <row r="36" spans="1:18" x14ac:dyDescent="0.25">
      <c r="A36" s="2" t="s">
        <v>93</v>
      </c>
      <c r="B36" s="3" t="s">
        <v>94</v>
      </c>
      <c r="C36" s="12" t="s">
        <v>92</v>
      </c>
      <c r="D36" s="3" t="s">
        <v>93</v>
      </c>
      <c r="E36" s="5" t="s">
        <v>21</v>
      </c>
      <c r="F36" s="5" t="s">
        <v>21</v>
      </c>
      <c r="G36" s="5" t="s">
        <v>21</v>
      </c>
      <c r="H36" s="5" t="s">
        <v>21</v>
      </c>
      <c r="I36" s="5" t="s">
        <v>21</v>
      </c>
      <c r="J36" s="6">
        <v>4</v>
      </c>
      <c r="K36" s="5" t="s">
        <v>21</v>
      </c>
      <c r="L36" s="5" t="s">
        <v>21</v>
      </c>
      <c r="M36" s="5" t="s">
        <v>21</v>
      </c>
      <c r="N36" s="5" t="s">
        <v>21</v>
      </c>
      <c r="O36" s="5" t="s">
        <v>21</v>
      </c>
      <c r="P36" s="5" t="s">
        <v>21</v>
      </c>
      <c r="Q36" s="7">
        <f t="shared" si="2"/>
        <v>4</v>
      </c>
      <c r="R36" s="7">
        <f t="shared" si="3"/>
        <v>1</v>
      </c>
    </row>
    <row r="37" spans="1:18" x14ac:dyDescent="0.25">
      <c r="A37" s="8" t="s">
        <v>95</v>
      </c>
      <c r="B37" s="9" t="s">
        <v>96</v>
      </c>
      <c r="C37" s="12" t="s">
        <v>92</v>
      </c>
      <c r="D37" s="9" t="s">
        <v>95</v>
      </c>
      <c r="E37" s="10" t="s">
        <v>21</v>
      </c>
      <c r="F37" s="10" t="s">
        <v>21</v>
      </c>
      <c r="G37" s="10" t="s">
        <v>21</v>
      </c>
      <c r="H37" s="10" t="s">
        <v>21</v>
      </c>
      <c r="I37" s="10" t="s">
        <v>21</v>
      </c>
      <c r="J37" s="10" t="s">
        <v>21</v>
      </c>
      <c r="K37" s="10" t="s">
        <v>21</v>
      </c>
      <c r="L37" s="10" t="s">
        <v>21</v>
      </c>
      <c r="M37" s="11">
        <v>1</v>
      </c>
      <c r="N37" s="10" t="s">
        <v>21</v>
      </c>
      <c r="O37" s="10" t="s">
        <v>21</v>
      </c>
      <c r="P37" s="10" t="s">
        <v>21</v>
      </c>
      <c r="Q37" s="7">
        <f t="shared" si="2"/>
        <v>1</v>
      </c>
      <c r="R37" s="7">
        <f t="shared" si="3"/>
        <v>1</v>
      </c>
    </row>
    <row r="38" spans="1:18" x14ac:dyDescent="0.25">
      <c r="A38" s="2" t="s">
        <v>97</v>
      </c>
      <c r="B38" s="3" t="s">
        <v>98</v>
      </c>
      <c r="C38" s="12" t="s">
        <v>92</v>
      </c>
      <c r="D38" s="3" t="s">
        <v>97</v>
      </c>
      <c r="E38" s="5" t="s">
        <v>21</v>
      </c>
      <c r="F38" s="6">
        <v>1</v>
      </c>
      <c r="G38" s="5" t="s">
        <v>21</v>
      </c>
      <c r="H38" s="5" t="s">
        <v>21</v>
      </c>
      <c r="I38" s="5" t="s">
        <v>21</v>
      </c>
      <c r="J38" s="5" t="s">
        <v>21</v>
      </c>
      <c r="K38" s="5" t="s">
        <v>21</v>
      </c>
      <c r="L38" s="5" t="s">
        <v>21</v>
      </c>
      <c r="M38" s="6">
        <v>1</v>
      </c>
      <c r="N38" s="5" t="s">
        <v>21</v>
      </c>
      <c r="O38" s="5" t="s">
        <v>21</v>
      </c>
      <c r="P38" s="6">
        <v>1</v>
      </c>
      <c r="Q38" s="7">
        <f t="shared" si="2"/>
        <v>3</v>
      </c>
      <c r="R38" s="7">
        <f t="shared" si="3"/>
        <v>3</v>
      </c>
    </row>
    <row r="39" spans="1:18" x14ac:dyDescent="0.25">
      <c r="A39" s="8" t="s">
        <v>99</v>
      </c>
      <c r="B39" s="9" t="s">
        <v>100</v>
      </c>
      <c r="C39" s="12" t="s">
        <v>92</v>
      </c>
      <c r="D39" s="9" t="s">
        <v>101</v>
      </c>
      <c r="E39" s="10" t="s">
        <v>21</v>
      </c>
      <c r="F39" s="10" t="s">
        <v>21</v>
      </c>
      <c r="G39" s="10" t="s">
        <v>21</v>
      </c>
      <c r="H39" s="10" t="s">
        <v>21</v>
      </c>
      <c r="I39" s="10" t="s">
        <v>21</v>
      </c>
      <c r="J39" s="10" t="s">
        <v>21</v>
      </c>
      <c r="K39" s="10" t="s">
        <v>21</v>
      </c>
      <c r="L39" s="10" t="s">
        <v>21</v>
      </c>
      <c r="M39" s="10" t="s">
        <v>21</v>
      </c>
      <c r="N39" s="11">
        <v>2</v>
      </c>
      <c r="O39" s="10" t="s">
        <v>21</v>
      </c>
      <c r="P39" s="10" t="s">
        <v>21</v>
      </c>
      <c r="Q39" s="7">
        <f t="shared" si="2"/>
        <v>2</v>
      </c>
      <c r="R39" s="7">
        <f t="shared" si="3"/>
        <v>1</v>
      </c>
    </row>
    <row r="40" spans="1:18" x14ac:dyDescent="0.25">
      <c r="A40" s="2" t="s">
        <v>99</v>
      </c>
      <c r="B40" s="3" t="s">
        <v>100</v>
      </c>
      <c r="C40" s="12" t="s">
        <v>92</v>
      </c>
      <c r="D40" s="3" t="s">
        <v>99</v>
      </c>
      <c r="E40" s="5" t="s">
        <v>21</v>
      </c>
      <c r="F40" s="5" t="s">
        <v>21</v>
      </c>
      <c r="G40" s="5" t="s">
        <v>21</v>
      </c>
      <c r="H40" s="5" t="s">
        <v>21</v>
      </c>
      <c r="I40" s="5" t="s">
        <v>21</v>
      </c>
      <c r="J40" s="5" t="s">
        <v>21</v>
      </c>
      <c r="K40" s="5" t="s">
        <v>21</v>
      </c>
      <c r="L40" s="6">
        <v>2</v>
      </c>
      <c r="M40" s="5" t="s">
        <v>21</v>
      </c>
      <c r="N40" s="5" t="s">
        <v>21</v>
      </c>
      <c r="O40" s="5" t="s">
        <v>21</v>
      </c>
      <c r="P40" s="5" t="s">
        <v>21</v>
      </c>
      <c r="Q40" s="7">
        <f t="shared" si="2"/>
        <v>2</v>
      </c>
      <c r="R40" s="7">
        <f t="shared" si="3"/>
        <v>1</v>
      </c>
    </row>
    <row r="41" spans="1:18" x14ac:dyDescent="0.25">
      <c r="A41" s="8" t="s">
        <v>102</v>
      </c>
      <c r="B41" s="9" t="s">
        <v>103</v>
      </c>
      <c r="C41" s="12" t="s">
        <v>92</v>
      </c>
      <c r="D41" s="9" t="s">
        <v>104</v>
      </c>
      <c r="E41" s="10" t="s">
        <v>21</v>
      </c>
      <c r="F41" s="11">
        <v>5</v>
      </c>
      <c r="G41" s="10" t="s">
        <v>21</v>
      </c>
      <c r="H41" s="10" t="s">
        <v>21</v>
      </c>
      <c r="I41" s="10" t="s">
        <v>21</v>
      </c>
      <c r="J41" s="10" t="s">
        <v>21</v>
      </c>
      <c r="K41" s="10" t="s">
        <v>21</v>
      </c>
      <c r="L41" s="10" t="s">
        <v>21</v>
      </c>
      <c r="M41" s="10" t="s">
        <v>21</v>
      </c>
      <c r="N41" s="10" t="s">
        <v>21</v>
      </c>
      <c r="O41" s="10" t="s">
        <v>21</v>
      </c>
      <c r="P41" s="10" t="s">
        <v>21</v>
      </c>
      <c r="Q41" s="7">
        <f t="shared" si="2"/>
        <v>5</v>
      </c>
      <c r="R41" s="7">
        <f t="shared" si="3"/>
        <v>1</v>
      </c>
    </row>
    <row r="42" spans="1:18" x14ac:dyDescent="0.25">
      <c r="A42" s="2" t="s">
        <v>105</v>
      </c>
      <c r="B42" s="3" t="s">
        <v>106</v>
      </c>
      <c r="C42" s="12" t="s">
        <v>92</v>
      </c>
      <c r="D42" s="3" t="s">
        <v>107</v>
      </c>
      <c r="E42" s="5" t="s">
        <v>21</v>
      </c>
      <c r="F42" s="5" t="s">
        <v>21</v>
      </c>
      <c r="G42" s="5" t="s">
        <v>21</v>
      </c>
      <c r="H42" s="5" t="s">
        <v>21</v>
      </c>
      <c r="I42" s="5" t="s">
        <v>21</v>
      </c>
      <c r="J42" s="5" t="s">
        <v>21</v>
      </c>
      <c r="K42" s="5" t="s">
        <v>21</v>
      </c>
      <c r="L42" s="5" t="s">
        <v>21</v>
      </c>
      <c r="M42" s="5" t="s">
        <v>21</v>
      </c>
      <c r="N42" s="6">
        <v>1</v>
      </c>
      <c r="O42" s="5" t="s">
        <v>21</v>
      </c>
      <c r="P42" s="5" t="s">
        <v>21</v>
      </c>
      <c r="Q42" s="7">
        <f t="shared" si="2"/>
        <v>1</v>
      </c>
      <c r="R42" s="7">
        <f t="shared" si="3"/>
        <v>1</v>
      </c>
    </row>
    <row r="43" spans="1:18" x14ac:dyDescent="0.25">
      <c r="A43" s="8" t="s">
        <v>108</v>
      </c>
      <c r="B43" s="9" t="s">
        <v>109</v>
      </c>
      <c r="C43" s="12" t="s">
        <v>92</v>
      </c>
      <c r="D43" s="9" t="s">
        <v>110</v>
      </c>
      <c r="E43" s="10" t="s">
        <v>21</v>
      </c>
      <c r="F43" s="10" t="s">
        <v>21</v>
      </c>
      <c r="G43" s="10" t="s">
        <v>21</v>
      </c>
      <c r="H43" s="10" t="s">
        <v>21</v>
      </c>
      <c r="I43" s="10" t="s">
        <v>21</v>
      </c>
      <c r="J43" s="10" t="s">
        <v>21</v>
      </c>
      <c r="K43" s="10" t="s">
        <v>21</v>
      </c>
      <c r="L43" s="11">
        <v>1</v>
      </c>
      <c r="M43" s="10" t="s">
        <v>21</v>
      </c>
      <c r="N43" s="10" t="s">
        <v>21</v>
      </c>
      <c r="O43" s="10" t="s">
        <v>21</v>
      </c>
      <c r="P43" s="10" t="s">
        <v>21</v>
      </c>
      <c r="Q43" s="7">
        <f t="shared" si="2"/>
        <v>1</v>
      </c>
      <c r="R43" s="7">
        <f t="shared" si="3"/>
        <v>1</v>
      </c>
    </row>
    <row r="44" spans="1:18" x14ac:dyDescent="0.25">
      <c r="A44" s="2" t="s">
        <v>111</v>
      </c>
      <c r="B44" s="3" t="s">
        <v>112</v>
      </c>
      <c r="C44" s="12" t="s">
        <v>92</v>
      </c>
      <c r="D44" s="3" t="s">
        <v>111</v>
      </c>
      <c r="E44" s="5" t="s">
        <v>21</v>
      </c>
      <c r="F44" s="5" t="s">
        <v>21</v>
      </c>
      <c r="G44" s="5" t="s">
        <v>21</v>
      </c>
      <c r="H44" s="5" t="s">
        <v>21</v>
      </c>
      <c r="I44" s="5" t="s">
        <v>21</v>
      </c>
      <c r="J44" s="6">
        <v>8</v>
      </c>
      <c r="K44" s="5" t="s">
        <v>21</v>
      </c>
      <c r="L44" s="5" t="s">
        <v>21</v>
      </c>
      <c r="M44" s="5" t="s">
        <v>21</v>
      </c>
      <c r="N44" s="5" t="s">
        <v>21</v>
      </c>
      <c r="O44" s="5" t="s">
        <v>21</v>
      </c>
      <c r="P44" s="5" t="s">
        <v>21</v>
      </c>
      <c r="Q44" s="7">
        <f t="shared" si="2"/>
        <v>8</v>
      </c>
      <c r="R44" s="7">
        <f t="shared" si="3"/>
        <v>1</v>
      </c>
    </row>
    <row r="45" spans="1:18" x14ac:dyDescent="0.25">
      <c r="A45" s="8" t="s">
        <v>113</v>
      </c>
      <c r="B45" s="9" t="s">
        <v>113</v>
      </c>
      <c r="C45" s="12" t="s">
        <v>92</v>
      </c>
      <c r="D45" s="9" t="s">
        <v>114</v>
      </c>
      <c r="E45" s="11">
        <v>1</v>
      </c>
      <c r="F45" s="10" t="s">
        <v>21</v>
      </c>
      <c r="G45" s="10" t="s">
        <v>21</v>
      </c>
      <c r="H45" s="10" t="s">
        <v>21</v>
      </c>
      <c r="I45" s="10" t="s">
        <v>21</v>
      </c>
      <c r="J45" s="10" t="s">
        <v>21</v>
      </c>
      <c r="K45" s="10" t="s">
        <v>21</v>
      </c>
      <c r="L45" s="10" t="s">
        <v>21</v>
      </c>
      <c r="M45" s="10" t="s">
        <v>21</v>
      </c>
      <c r="N45" s="10" t="s">
        <v>21</v>
      </c>
      <c r="O45" s="10" t="s">
        <v>21</v>
      </c>
      <c r="P45" s="10" t="s">
        <v>21</v>
      </c>
      <c r="Q45" s="7">
        <f t="shared" si="2"/>
        <v>1</v>
      </c>
      <c r="R45" s="7">
        <f t="shared" si="3"/>
        <v>1</v>
      </c>
    </row>
    <row r="46" spans="1:18" x14ac:dyDescent="0.25">
      <c r="A46" s="2" t="s">
        <v>115</v>
      </c>
      <c r="B46" s="3" t="s">
        <v>116</v>
      </c>
      <c r="C46" s="13" t="s">
        <v>117</v>
      </c>
      <c r="D46" s="3" t="s">
        <v>115</v>
      </c>
      <c r="E46" s="5" t="s">
        <v>21</v>
      </c>
      <c r="F46" s="6">
        <v>5</v>
      </c>
      <c r="G46" s="6">
        <v>2</v>
      </c>
      <c r="H46" s="5" t="s">
        <v>21</v>
      </c>
      <c r="I46" s="5" t="s">
        <v>21</v>
      </c>
      <c r="J46" s="5" t="s">
        <v>21</v>
      </c>
      <c r="K46" s="5" t="s">
        <v>21</v>
      </c>
      <c r="L46" s="5" t="s">
        <v>21</v>
      </c>
      <c r="M46" s="6">
        <v>1</v>
      </c>
      <c r="N46" s="5" t="s">
        <v>21</v>
      </c>
      <c r="O46" s="5" t="s">
        <v>21</v>
      </c>
      <c r="P46" s="6">
        <v>2</v>
      </c>
      <c r="Q46" s="7">
        <f t="shared" si="2"/>
        <v>10</v>
      </c>
      <c r="R46" s="7">
        <f t="shared" si="3"/>
        <v>4</v>
      </c>
    </row>
    <row r="47" spans="1:18" x14ac:dyDescent="0.25">
      <c r="A47" s="8" t="s">
        <v>115</v>
      </c>
      <c r="B47" s="9" t="s">
        <v>116</v>
      </c>
      <c r="C47" s="13" t="s">
        <v>117</v>
      </c>
      <c r="D47" s="9" t="s">
        <v>118</v>
      </c>
      <c r="E47" s="10" t="s">
        <v>21</v>
      </c>
      <c r="F47" s="10" t="s">
        <v>21</v>
      </c>
      <c r="G47" s="10" t="s">
        <v>21</v>
      </c>
      <c r="H47" s="10" t="s">
        <v>21</v>
      </c>
      <c r="I47" s="10" t="s">
        <v>21</v>
      </c>
      <c r="J47" s="10" t="s">
        <v>21</v>
      </c>
      <c r="K47" s="10" t="s">
        <v>21</v>
      </c>
      <c r="L47" s="11">
        <v>3</v>
      </c>
      <c r="M47" s="10" t="s">
        <v>21</v>
      </c>
      <c r="N47" s="10" t="s">
        <v>21</v>
      </c>
      <c r="O47" s="10" t="s">
        <v>21</v>
      </c>
      <c r="P47" s="10" t="s">
        <v>21</v>
      </c>
      <c r="Q47" s="7">
        <f t="shared" si="2"/>
        <v>3</v>
      </c>
      <c r="R47" s="7">
        <f t="shared" si="3"/>
        <v>1</v>
      </c>
    </row>
    <row r="48" spans="1:18" x14ac:dyDescent="0.25">
      <c r="A48" s="2" t="s">
        <v>119</v>
      </c>
      <c r="B48" s="3" t="s">
        <v>120</v>
      </c>
      <c r="C48" s="13" t="s">
        <v>117</v>
      </c>
      <c r="D48" s="3" t="s">
        <v>119</v>
      </c>
      <c r="E48" s="5" t="s">
        <v>21</v>
      </c>
      <c r="F48" s="5" t="s">
        <v>21</v>
      </c>
      <c r="G48" s="5" t="s">
        <v>21</v>
      </c>
      <c r="H48" s="5" t="s">
        <v>21</v>
      </c>
      <c r="I48" s="5" t="s">
        <v>21</v>
      </c>
      <c r="J48" s="5" t="s">
        <v>21</v>
      </c>
      <c r="K48" s="5" t="s">
        <v>21</v>
      </c>
      <c r="L48" s="5" t="s">
        <v>21</v>
      </c>
      <c r="M48" s="6">
        <v>1</v>
      </c>
      <c r="N48" s="5" t="s">
        <v>21</v>
      </c>
      <c r="O48" s="5" t="s">
        <v>21</v>
      </c>
      <c r="P48" s="5" t="s">
        <v>21</v>
      </c>
      <c r="Q48" s="7">
        <f t="shared" si="2"/>
        <v>1</v>
      </c>
      <c r="R48" s="7">
        <f t="shared" si="3"/>
        <v>1</v>
      </c>
    </row>
    <row r="49" spans="1:18" x14ac:dyDescent="0.25">
      <c r="A49" s="8" t="s">
        <v>121</v>
      </c>
      <c r="B49" s="9" t="s">
        <v>121</v>
      </c>
      <c r="C49" s="13" t="s">
        <v>117</v>
      </c>
      <c r="D49" s="9" t="s">
        <v>122</v>
      </c>
      <c r="E49" s="10" t="s">
        <v>21</v>
      </c>
      <c r="F49" s="10" t="s">
        <v>21</v>
      </c>
      <c r="G49" s="10" t="s">
        <v>21</v>
      </c>
      <c r="H49" s="10" t="s">
        <v>21</v>
      </c>
      <c r="I49" s="10" t="s">
        <v>21</v>
      </c>
      <c r="J49" s="10" t="s">
        <v>21</v>
      </c>
      <c r="K49" s="10" t="s">
        <v>21</v>
      </c>
      <c r="L49" s="10" t="s">
        <v>21</v>
      </c>
      <c r="M49" s="10" t="s">
        <v>21</v>
      </c>
      <c r="N49" s="10" t="s">
        <v>21</v>
      </c>
      <c r="O49" s="10" t="s">
        <v>21</v>
      </c>
      <c r="P49" s="11">
        <v>1</v>
      </c>
      <c r="Q49" s="7">
        <f t="shared" si="2"/>
        <v>1</v>
      </c>
      <c r="R49" s="7">
        <f t="shared" si="3"/>
        <v>1</v>
      </c>
    </row>
    <row r="50" spans="1:18" x14ac:dyDescent="0.25">
      <c r="A50" s="2" t="s">
        <v>123</v>
      </c>
      <c r="B50" s="3" t="s">
        <v>124</v>
      </c>
      <c r="C50" s="13" t="s">
        <v>117</v>
      </c>
      <c r="D50" s="3" t="s">
        <v>123</v>
      </c>
      <c r="E50" s="5" t="s">
        <v>21</v>
      </c>
      <c r="F50" s="5" t="s">
        <v>21</v>
      </c>
      <c r="G50" s="5" t="s">
        <v>21</v>
      </c>
      <c r="H50" s="5" t="s">
        <v>21</v>
      </c>
      <c r="I50" s="5" t="s">
        <v>21</v>
      </c>
      <c r="J50" s="5" t="s">
        <v>21</v>
      </c>
      <c r="K50" s="5" t="s">
        <v>21</v>
      </c>
      <c r="L50" s="5" t="s">
        <v>21</v>
      </c>
      <c r="M50" s="6">
        <v>11</v>
      </c>
      <c r="N50" s="5" t="s">
        <v>21</v>
      </c>
      <c r="O50" s="5" t="s">
        <v>21</v>
      </c>
      <c r="P50" s="5" t="s">
        <v>21</v>
      </c>
      <c r="Q50" s="7">
        <f t="shared" si="2"/>
        <v>11</v>
      </c>
      <c r="R50" s="7">
        <f t="shared" si="3"/>
        <v>1</v>
      </c>
    </row>
    <row r="51" spans="1:18" x14ac:dyDescent="0.25">
      <c r="A51" s="8" t="s">
        <v>125</v>
      </c>
      <c r="B51" s="9" t="s">
        <v>126</v>
      </c>
      <c r="C51" s="13" t="s">
        <v>117</v>
      </c>
      <c r="D51" s="9" t="s">
        <v>125</v>
      </c>
      <c r="E51" s="10" t="s">
        <v>21</v>
      </c>
      <c r="F51" s="10" t="s">
        <v>21</v>
      </c>
      <c r="G51" s="11">
        <v>4</v>
      </c>
      <c r="H51" s="11">
        <v>4</v>
      </c>
      <c r="I51" s="10" t="s">
        <v>21</v>
      </c>
      <c r="J51" s="10" t="s">
        <v>21</v>
      </c>
      <c r="K51" s="10" t="s">
        <v>21</v>
      </c>
      <c r="L51" s="10" t="s">
        <v>21</v>
      </c>
      <c r="M51" s="10" t="s">
        <v>21</v>
      </c>
      <c r="N51" s="10" t="s">
        <v>21</v>
      </c>
      <c r="O51" s="10" t="s">
        <v>21</v>
      </c>
      <c r="P51" s="10" t="s">
        <v>21</v>
      </c>
      <c r="Q51" s="7">
        <f t="shared" si="2"/>
        <v>8</v>
      </c>
      <c r="R51" s="7">
        <f t="shared" si="3"/>
        <v>2</v>
      </c>
    </row>
    <row r="52" spans="1:18" x14ac:dyDescent="0.25">
      <c r="A52" s="2" t="s">
        <v>127</v>
      </c>
      <c r="B52" s="3" t="s">
        <v>128</v>
      </c>
      <c r="C52" s="13" t="s">
        <v>117</v>
      </c>
      <c r="D52" s="3" t="s">
        <v>127</v>
      </c>
      <c r="E52" s="5" t="s">
        <v>21</v>
      </c>
      <c r="F52" s="5" t="s">
        <v>21</v>
      </c>
      <c r="G52" s="6">
        <v>1</v>
      </c>
      <c r="H52" s="5" t="s">
        <v>21</v>
      </c>
      <c r="I52" s="5" t="s">
        <v>21</v>
      </c>
      <c r="J52" s="5" t="s">
        <v>21</v>
      </c>
      <c r="K52" s="5" t="s">
        <v>21</v>
      </c>
      <c r="L52" s="5" t="s">
        <v>21</v>
      </c>
      <c r="M52" s="5" t="s">
        <v>21</v>
      </c>
      <c r="N52" s="5" t="s">
        <v>21</v>
      </c>
      <c r="O52" s="5" t="s">
        <v>21</v>
      </c>
      <c r="P52" s="5" t="s">
        <v>21</v>
      </c>
      <c r="Q52" s="7">
        <f t="shared" si="2"/>
        <v>1</v>
      </c>
      <c r="R52" s="7">
        <f t="shared" si="3"/>
        <v>1</v>
      </c>
    </row>
    <row r="53" spans="1:18" x14ac:dyDescent="0.25">
      <c r="A53" s="8" t="s">
        <v>129</v>
      </c>
      <c r="B53" s="9" t="s">
        <v>130</v>
      </c>
      <c r="C53" s="13" t="s">
        <v>117</v>
      </c>
      <c r="D53" s="9" t="s">
        <v>129</v>
      </c>
      <c r="E53" s="10" t="s">
        <v>21</v>
      </c>
      <c r="F53" s="10" t="s">
        <v>21</v>
      </c>
      <c r="G53" s="10" t="s">
        <v>21</v>
      </c>
      <c r="H53" s="11">
        <v>1</v>
      </c>
      <c r="I53" s="10" t="s">
        <v>21</v>
      </c>
      <c r="J53" s="10" t="s">
        <v>21</v>
      </c>
      <c r="K53" s="10" t="s">
        <v>21</v>
      </c>
      <c r="L53" s="10" t="s">
        <v>21</v>
      </c>
      <c r="M53" s="10" t="s">
        <v>21</v>
      </c>
      <c r="N53" s="10" t="s">
        <v>21</v>
      </c>
      <c r="O53" s="10" t="s">
        <v>21</v>
      </c>
      <c r="P53" s="10" t="s">
        <v>21</v>
      </c>
      <c r="Q53" s="7">
        <f t="shared" si="2"/>
        <v>1</v>
      </c>
      <c r="R53" s="7">
        <f t="shared" si="3"/>
        <v>1</v>
      </c>
    </row>
    <row r="54" spans="1:18" x14ac:dyDescent="0.25">
      <c r="A54" s="2" t="s">
        <v>131</v>
      </c>
      <c r="B54" s="3" t="s">
        <v>132</v>
      </c>
      <c r="C54" s="13" t="s">
        <v>117</v>
      </c>
      <c r="D54" s="3" t="s">
        <v>131</v>
      </c>
      <c r="E54" s="5" t="s">
        <v>21</v>
      </c>
      <c r="F54" s="6">
        <v>5</v>
      </c>
      <c r="G54" s="5" t="s">
        <v>21</v>
      </c>
      <c r="H54" s="5" t="s">
        <v>21</v>
      </c>
      <c r="I54" s="5" t="s">
        <v>21</v>
      </c>
      <c r="J54" s="5" t="s">
        <v>21</v>
      </c>
      <c r="K54" s="5" t="s">
        <v>21</v>
      </c>
      <c r="L54" s="5" t="s">
        <v>21</v>
      </c>
      <c r="M54" s="5" t="s">
        <v>21</v>
      </c>
      <c r="N54" s="5" t="s">
        <v>21</v>
      </c>
      <c r="O54" s="5" t="s">
        <v>21</v>
      </c>
      <c r="P54" s="5" t="s">
        <v>21</v>
      </c>
      <c r="Q54" s="7">
        <f t="shared" si="2"/>
        <v>5</v>
      </c>
      <c r="R54" s="7">
        <f t="shared" si="3"/>
        <v>1</v>
      </c>
    </row>
    <row r="55" spans="1:18" x14ac:dyDescent="0.25">
      <c r="A55" s="8" t="s">
        <v>133</v>
      </c>
      <c r="B55" s="9" t="s">
        <v>134</v>
      </c>
      <c r="C55" s="13" t="s">
        <v>117</v>
      </c>
      <c r="D55" s="9" t="s">
        <v>133</v>
      </c>
      <c r="E55" s="10" t="s">
        <v>21</v>
      </c>
      <c r="F55" s="11">
        <v>4</v>
      </c>
      <c r="G55" s="10" t="s">
        <v>21</v>
      </c>
      <c r="H55" s="10" t="s">
        <v>21</v>
      </c>
      <c r="I55" s="10" t="s">
        <v>21</v>
      </c>
      <c r="J55" s="10" t="s">
        <v>21</v>
      </c>
      <c r="K55" s="10" t="s">
        <v>21</v>
      </c>
      <c r="L55" s="10" t="s">
        <v>21</v>
      </c>
      <c r="M55" s="10" t="s">
        <v>21</v>
      </c>
      <c r="N55" s="10" t="s">
        <v>21</v>
      </c>
      <c r="O55" s="10" t="s">
        <v>21</v>
      </c>
      <c r="P55" s="10" t="s">
        <v>21</v>
      </c>
      <c r="Q55" s="7">
        <f t="shared" si="2"/>
        <v>4</v>
      </c>
      <c r="R55" s="7">
        <f t="shared" si="3"/>
        <v>1</v>
      </c>
    </row>
    <row r="56" spans="1:18" x14ac:dyDescent="0.25">
      <c r="A56" s="2" t="s">
        <v>135</v>
      </c>
      <c r="B56" s="3" t="s">
        <v>136</v>
      </c>
      <c r="C56" s="13" t="s">
        <v>117</v>
      </c>
      <c r="D56" s="3" t="s">
        <v>135</v>
      </c>
      <c r="E56" s="5" t="s">
        <v>21</v>
      </c>
      <c r="F56" s="5" t="s">
        <v>21</v>
      </c>
      <c r="G56" s="5" t="s">
        <v>21</v>
      </c>
      <c r="H56" s="5" t="s">
        <v>21</v>
      </c>
      <c r="I56" s="5" t="s">
        <v>21</v>
      </c>
      <c r="J56" s="5" t="s">
        <v>21</v>
      </c>
      <c r="K56" s="5" t="s">
        <v>21</v>
      </c>
      <c r="L56" s="5" t="s">
        <v>21</v>
      </c>
      <c r="M56" s="5" t="s">
        <v>21</v>
      </c>
      <c r="N56" s="5" t="s">
        <v>21</v>
      </c>
      <c r="O56" s="5" t="s">
        <v>21</v>
      </c>
      <c r="P56" s="6">
        <v>10</v>
      </c>
      <c r="Q56" s="7">
        <f t="shared" si="2"/>
        <v>10</v>
      </c>
      <c r="R56" s="7">
        <f t="shared" si="3"/>
        <v>1</v>
      </c>
    </row>
    <row r="57" spans="1:18" x14ac:dyDescent="0.25">
      <c r="A57" s="8" t="s">
        <v>137</v>
      </c>
      <c r="B57" s="9" t="s">
        <v>138</v>
      </c>
      <c r="C57" s="13" t="s">
        <v>117</v>
      </c>
      <c r="D57" s="9" t="s">
        <v>137</v>
      </c>
      <c r="E57" s="10" t="s">
        <v>21</v>
      </c>
      <c r="F57" s="10" t="s">
        <v>21</v>
      </c>
      <c r="G57" s="10" t="s">
        <v>21</v>
      </c>
      <c r="H57" s="10" t="s">
        <v>21</v>
      </c>
      <c r="I57" s="10" t="s">
        <v>21</v>
      </c>
      <c r="J57" s="10" t="s">
        <v>21</v>
      </c>
      <c r="K57" s="10" t="s">
        <v>21</v>
      </c>
      <c r="L57" s="10" t="s">
        <v>21</v>
      </c>
      <c r="M57" s="11">
        <v>4</v>
      </c>
      <c r="N57" s="10" t="s">
        <v>21</v>
      </c>
      <c r="O57" s="10" t="s">
        <v>21</v>
      </c>
      <c r="P57" s="10" t="s">
        <v>21</v>
      </c>
      <c r="Q57" s="7">
        <f t="shared" si="2"/>
        <v>4</v>
      </c>
      <c r="R57" s="7">
        <f t="shared" si="3"/>
        <v>1</v>
      </c>
    </row>
    <row r="58" spans="1:18" x14ac:dyDescent="0.25">
      <c r="A58" s="2" t="s">
        <v>139</v>
      </c>
      <c r="B58" s="3" t="s">
        <v>140</v>
      </c>
      <c r="C58" s="13" t="s">
        <v>117</v>
      </c>
      <c r="D58" s="3" t="s">
        <v>139</v>
      </c>
      <c r="E58" s="5" t="s">
        <v>21</v>
      </c>
      <c r="F58" s="6">
        <v>2</v>
      </c>
      <c r="G58" s="5" t="s">
        <v>21</v>
      </c>
      <c r="H58" s="5" t="s">
        <v>21</v>
      </c>
      <c r="I58" s="5" t="s">
        <v>21</v>
      </c>
      <c r="J58" s="5" t="s">
        <v>21</v>
      </c>
      <c r="K58" s="5" t="s">
        <v>21</v>
      </c>
      <c r="L58" s="5" t="s">
        <v>21</v>
      </c>
      <c r="M58" s="5" t="s">
        <v>21</v>
      </c>
      <c r="N58" s="5" t="s">
        <v>21</v>
      </c>
      <c r="O58" s="5" t="s">
        <v>21</v>
      </c>
      <c r="P58" s="6">
        <v>2</v>
      </c>
      <c r="Q58" s="7">
        <f t="shared" si="2"/>
        <v>4</v>
      </c>
      <c r="R58" s="7">
        <f t="shared" si="3"/>
        <v>2</v>
      </c>
    </row>
    <row r="59" spans="1:18" x14ac:dyDescent="0.25">
      <c r="A59" s="8" t="s">
        <v>141</v>
      </c>
      <c r="B59" s="9" t="s">
        <v>142</v>
      </c>
      <c r="C59" s="13" t="s">
        <v>117</v>
      </c>
      <c r="D59" s="9" t="s">
        <v>141</v>
      </c>
      <c r="E59" s="11">
        <v>4</v>
      </c>
      <c r="F59" s="11">
        <v>1</v>
      </c>
      <c r="G59" s="11">
        <v>2</v>
      </c>
      <c r="H59" s="10" t="s">
        <v>21</v>
      </c>
      <c r="I59" s="10" t="s">
        <v>21</v>
      </c>
      <c r="J59" s="10" t="s">
        <v>21</v>
      </c>
      <c r="K59" s="10" t="s">
        <v>21</v>
      </c>
      <c r="L59" s="11">
        <v>1</v>
      </c>
      <c r="M59" s="11">
        <v>1</v>
      </c>
      <c r="N59" s="11">
        <v>2</v>
      </c>
      <c r="O59" s="10" t="s">
        <v>21</v>
      </c>
      <c r="P59" s="11">
        <v>1</v>
      </c>
      <c r="Q59" s="7">
        <f t="shared" si="2"/>
        <v>12</v>
      </c>
      <c r="R59" s="7">
        <f t="shared" si="3"/>
        <v>7</v>
      </c>
    </row>
    <row r="60" spans="1:18" x14ac:dyDescent="0.25">
      <c r="A60" s="2" t="s">
        <v>143</v>
      </c>
      <c r="B60" s="3" t="s">
        <v>144</v>
      </c>
      <c r="C60" s="13" t="s">
        <v>117</v>
      </c>
      <c r="D60" s="3" t="s">
        <v>143</v>
      </c>
      <c r="E60" s="5" t="s">
        <v>21</v>
      </c>
      <c r="F60" s="5" t="s">
        <v>21</v>
      </c>
      <c r="G60" s="5" t="s">
        <v>21</v>
      </c>
      <c r="H60" s="5" t="s">
        <v>21</v>
      </c>
      <c r="I60" s="6">
        <v>2</v>
      </c>
      <c r="J60" s="5" t="s">
        <v>21</v>
      </c>
      <c r="K60" s="5" t="s">
        <v>21</v>
      </c>
      <c r="L60" s="5" t="s">
        <v>21</v>
      </c>
      <c r="M60" s="5" t="s">
        <v>21</v>
      </c>
      <c r="N60" s="5" t="s">
        <v>21</v>
      </c>
      <c r="O60" s="5" t="s">
        <v>21</v>
      </c>
      <c r="P60" s="5" t="s">
        <v>21</v>
      </c>
      <c r="Q60" s="7">
        <f t="shared" si="2"/>
        <v>2</v>
      </c>
      <c r="R60" s="7">
        <f t="shared" si="3"/>
        <v>1</v>
      </c>
    </row>
    <row r="61" spans="1:18" x14ac:dyDescent="0.25">
      <c r="A61" s="8" t="s">
        <v>145</v>
      </c>
      <c r="B61" s="9" t="s">
        <v>146</v>
      </c>
      <c r="C61" s="13" t="s">
        <v>117</v>
      </c>
      <c r="D61" s="9" t="s">
        <v>145</v>
      </c>
      <c r="E61" s="10" t="s">
        <v>21</v>
      </c>
      <c r="F61" s="11">
        <v>4</v>
      </c>
      <c r="G61" s="11">
        <v>1</v>
      </c>
      <c r="H61" s="10" t="s">
        <v>21</v>
      </c>
      <c r="I61" s="10" t="s">
        <v>21</v>
      </c>
      <c r="J61" s="10" t="s">
        <v>21</v>
      </c>
      <c r="K61" s="10" t="s">
        <v>21</v>
      </c>
      <c r="L61" s="10" t="s">
        <v>21</v>
      </c>
      <c r="M61" s="10" t="s">
        <v>21</v>
      </c>
      <c r="N61" s="11">
        <v>1</v>
      </c>
      <c r="O61" s="10" t="s">
        <v>21</v>
      </c>
      <c r="P61" s="10" t="s">
        <v>21</v>
      </c>
      <c r="Q61" s="7">
        <f t="shared" si="2"/>
        <v>6</v>
      </c>
      <c r="R61" s="7">
        <f t="shared" si="3"/>
        <v>3</v>
      </c>
    </row>
    <row r="62" spans="1:18" x14ac:dyDescent="0.25">
      <c r="A62" s="2" t="s">
        <v>147</v>
      </c>
      <c r="B62" s="3" t="s">
        <v>148</v>
      </c>
      <c r="C62" s="13" t="s">
        <v>117</v>
      </c>
      <c r="D62" s="3" t="s">
        <v>147</v>
      </c>
      <c r="E62" s="5" t="s">
        <v>21</v>
      </c>
      <c r="F62" s="6">
        <v>1</v>
      </c>
      <c r="G62" s="6">
        <v>1</v>
      </c>
      <c r="H62" s="5" t="s">
        <v>21</v>
      </c>
      <c r="I62" s="5" t="s">
        <v>21</v>
      </c>
      <c r="J62" s="5" t="s">
        <v>21</v>
      </c>
      <c r="K62" s="5" t="s">
        <v>21</v>
      </c>
      <c r="L62" s="6">
        <v>1</v>
      </c>
      <c r="M62" s="5" t="s">
        <v>21</v>
      </c>
      <c r="N62" s="5" t="s">
        <v>21</v>
      </c>
      <c r="O62" s="5" t="s">
        <v>21</v>
      </c>
      <c r="P62" s="5" t="s">
        <v>21</v>
      </c>
      <c r="Q62" s="7">
        <f t="shared" si="2"/>
        <v>3</v>
      </c>
      <c r="R62" s="7">
        <f t="shared" si="3"/>
        <v>3</v>
      </c>
    </row>
    <row r="63" spans="1:18" x14ac:dyDescent="0.25">
      <c r="A63" s="8" t="s">
        <v>149</v>
      </c>
      <c r="B63" s="9" t="s">
        <v>150</v>
      </c>
      <c r="C63" s="13" t="s">
        <v>117</v>
      </c>
      <c r="D63" s="9" t="s">
        <v>149</v>
      </c>
      <c r="E63" s="10" t="s">
        <v>21</v>
      </c>
      <c r="F63" s="11">
        <v>1</v>
      </c>
      <c r="G63" s="10" t="s">
        <v>21</v>
      </c>
      <c r="H63" s="10" t="s">
        <v>21</v>
      </c>
      <c r="I63" s="10" t="s">
        <v>21</v>
      </c>
      <c r="J63" s="10" t="s">
        <v>21</v>
      </c>
      <c r="K63" s="10" t="s">
        <v>21</v>
      </c>
      <c r="L63" s="10" t="s">
        <v>21</v>
      </c>
      <c r="M63" s="11">
        <v>1</v>
      </c>
      <c r="N63" s="10" t="s">
        <v>21</v>
      </c>
      <c r="O63" s="10" t="s">
        <v>21</v>
      </c>
      <c r="P63" s="10" t="s">
        <v>21</v>
      </c>
      <c r="Q63" s="7">
        <f t="shared" si="2"/>
        <v>2</v>
      </c>
      <c r="R63" s="7">
        <f t="shared" si="3"/>
        <v>2</v>
      </c>
    </row>
    <row r="64" spans="1:18" x14ac:dyDescent="0.25">
      <c r="A64" s="2" t="s">
        <v>151</v>
      </c>
      <c r="B64" s="3" t="s">
        <v>152</v>
      </c>
      <c r="C64" s="13" t="s">
        <v>117</v>
      </c>
      <c r="D64" s="3" t="s">
        <v>151</v>
      </c>
      <c r="E64" s="5" t="s">
        <v>21</v>
      </c>
      <c r="F64" s="5" t="s">
        <v>21</v>
      </c>
      <c r="G64" s="5" t="s">
        <v>21</v>
      </c>
      <c r="H64" s="5" t="s">
        <v>21</v>
      </c>
      <c r="I64" s="5" t="s">
        <v>21</v>
      </c>
      <c r="J64" s="5" t="s">
        <v>21</v>
      </c>
      <c r="K64" s="5" t="s">
        <v>21</v>
      </c>
      <c r="L64" s="5" t="s">
        <v>21</v>
      </c>
      <c r="M64" s="5" t="s">
        <v>21</v>
      </c>
      <c r="N64" s="5" t="s">
        <v>21</v>
      </c>
      <c r="O64" s="5" t="s">
        <v>21</v>
      </c>
      <c r="P64" s="6">
        <v>1</v>
      </c>
      <c r="Q64" s="7">
        <f t="shared" si="2"/>
        <v>1</v>
      </c>
      <c r="R64" s="7">
        <f t="shared" si="3"/>
        <v>1</v>
      </c>
    </row>
    <row r="65" spans="1:18" x14ac:dyDescent="0.25">
      <c r="A65" s="8" t="s">
        <v>153</v>
      </c>
      <c r="B65" s="9" t="s">
        <v>154</v>
      </c>
      <c r="C65" s="13" t="s">
        <v>117</v>
      </c>
      <c r="D65" s="9" t="s">
        <v>153</v>
      </c>
      <c r="E65" s="10" t="s">
        <v>21</v>
      </c>
      <c r="F65" s="11">
        <v>2</v>
      </c>
      <c r="G65" s="10" t="s">
        <v>21</v>
      </c>
      <c r="H65" s="10" t="s">
        <v>21</v>
      </c>
      <c r="I65" s="11">
        <v>2</v>
      </c>
      <c r="J65" s="10" t="s">
        <v>21</v>
      </c>
      <c r="K65" s="10" t="s">
        <v>21</v>
      </c>
      <c r="L65" s="10" t="s">
        <v>21</v>
      </c>
      <c r="M65" s="10" t="s">
        <v>21</v>
      </c>
      <c r="N65" s="10" t="s">
        <v>21</v>
      </c>
      <c r="O65" s="10" t="s">
        <v>21</v>
      </c>
      <c r="P65" s="10" t="s">
        <v>21</v>
      </c>
      <c r="Q65" s="7">
        <f t="shared" si="2"/>
        <v>4</v>
      </c>
      <c r="R65" s="7">
        <f t="shared" si="3"/>
        <v>2</v>
      </c>
    </row>
    <row r="66" spans="1:18" x14ac:dyDescent="0.25">
      <c r="A66" s="2" t="s">
        <v>155</v>
      </c>
      <c r="B66" s="3" t="s">
        <v>156</v>
      </c>
      <c r="C66" s="14" t="s">
        <v>157</v>
      </c>
      <c r="D66" s="3" t="s">
        <v>155</v>
      </c>
      <c r="E66" s="5" t="s">
        <v>21</v>
      </c>
      <c r="F66" s="5" t="s">
        <v>21</v>
      </c>
      <c r="G66" s="5" t="s">
        <v>21</v>
      </c>
      <c r="H66" s="5" t="s">
        <v>21</v>
      </c>
      <c r="I66" s="5" t="s">
        <v>21</v>
      </c>
      <c r="J66" s="5" t="s">
        <v>21</v>
      </c>
      <c r="K66" s="5" t="s">
        <v>21</v>
      </c>
      <c r="L66" s="5" t="s">
        <v>21</v>
      </c>
      <c r="M66" s="5" t="s">
        <v>21</v>
      </c>
      <c r="N66" s="5" t="s">
        <v>21</v>
      </c>
      <c r="O66" s="5" t="s">
        <v>21</v>
      </c>
      <c r="P66" s="6">
        <v>1</v>
      </c>
      <c r="Q66" s="7">
        <f t="shared" ref="Q66:Q97" si="4">SUMIF(E66:P66,"&gt;0")</f>
        <v>1</v>
      </c>
      <c r="R66" s="7">
        <f t="shared" ref="R66:R97" si="5">COUNTIF(E66:P66,"&gt;0")</f>
        <v>1</v>
      </c>
    </row>
    <row r="67" spans="1:18" x14ac:dyDescent="0.25">
      <c r="A67" s="8" t="s">
        <v>158</v>
      </c>
      <c r="B67" s="9" t="s">
        <v>159</v>
      </c>
      <c r="C67" s="14" t="s">
        <v>157</v>
      </c>
      <c r="D67" s="9" t="s">
        <v>158</v>
      </c>
      <c r="E67" s="11">
        <v>2</v>
      </c>
      <c r="F67" s="10" t="s">
        <v>21</v>
      </c>
      <c r="G67" s="10" t="s">
        <v>21</v>
      </c>
      <c r="H67" s="10" t="s">
        <v>21</v>
      </c>
      <c r="I67" s="10" t="s">
        <v>21</v>
      </c>
      <c r="J67" s="10" t="s">
        <v>21</v>
      </c>
      <c r="K67" s="10" t="s">
        <v>21</v>
      </c>
      <c r="L67" s="10" t="s">
        <v>21</v>
      </c>
      <c r="M67" s="10" t="s">
        <v>21</v>
      </c>
      <c r="N67" s="10" t="s">
        <v>21</v>
      </c>
      <c r="O67" s="10" t="s">
        <v>21</v>
      </c>
      <c r="P67" s="10" t="s">
        <v>21</v>
      </c>
      <c r="Q67" s="7">
        <f t="shared" si="4"/>
        <v>2</v>
      </c>
      <c r="R67" s="7">
        <f t="shared" si="5"/>
        <v>1</v>
      </c>
    </row>
    <row r="68" spans="1:18" x14ac:dyDescent="0.25">
      <c r="A68" s="2" t="s">
        <v>160</v>
      </c>
      <c r="B68" s="3" t="s">
        <v>161</v>
      </c>
      <c r="C68" s="14" t="s">
        <v>157</v>
      </c>
      <c r="D68" s="3" t="s">
        <v>160</v>
      </c>
      <c r="E68" s="5" t="s">
        <v>21</v>
      </c>
      <c r="F68" s="5" t="s">
        <v>21</v>
      </c>
      <c r="G68" s="6">
        <v>1</v>
      </c>
      <c r="H68" s="5" t="s">
        <v>21</v>
      </c>
      <c r="I68" s="5" t="s">
        <v>21</v>
      </c>
      <c r="J68" s="5" t="s">
        <v>21</v>
      </c>
      <c r="K68" s="5" t="s">
        <v>21</v>
      </c>
      <c r="L68" s="5" t="s">
        <v>21</v>
      </c>
      <c r="M68" s="5" t="s">
        <v>21</v>
      </c>
      <c r="N68" s="5" t="s">
        <v>21</v>
      </c>
      <c r="O68" s="5" t="s">
        <v>21</v>
      </c>
      <c r="P68" s="5" t="s">
        <v>21</v>
      </c>
      <c r="Q68" s="7">
        <f t="shared" si="4"/>
        <v>1</v>
      </c>
      <c r="R68" s="7">
        <f t="shared" si="5"/>
        <v>1</v>
      </c>
    </row>
    <row r="69" spans="1:18" x14ac:dyDescent="0.25">
      <c r="A69" s="8" t="s">
        <v>162</v>
      </c>
      <c r="B69" s="9" t="s">
        <v>163</v>
      </c>
      <c r="C69" s="14" t="s">
        <v>157</v>
      </c>
      <c r="D69" s="9" t="s">
        <v>162</v>
      </c>
      <c r="E69" s="10" t="s">
        <v>21</v>
      </c>
      <c r="F69" s="11">
        <v>1</v>
      </c>
      <c r="G69" s="10" t="s">
        <v>21</v>
      </c>
      <c r="H69" s="10" t="s">
        <v>21</v>
      </c>
      <c r="I69" s="10" t="s">
        <v>21</v>
      </c>
      <c r="J69" s="10" t="s">
        <v>21</v>
      </c>
      <c r="K69" s="10" t="s">
        <v>21</v>
      </c>
      <c r="L69" s="10" t="s">
        <v>21</v>
      </c>
      <c r="M69" s="11">
        <v>1</v>
      </c>
      <c r="N69" s="10" t="s">
        <v>21</v>
      </c>
      <c r="O69" s="10" t="s">
        <v>21</v>
      </c>
      <c r="P69" s="10" t="s">
        <v>21</v>
      </c>
      <c r="Q69" s="7">
        <f t="shared" si="4"/>
        <v>2</v>
      </c>
      <c r="R69" s="7">
        <f t="shared" si="5"/>
        <v>2</v>
      </c>
    </row>
    <row r="70" spans="1:18" x14ac:dyDescent="0.25">
      <c r="A70" s="2" t="s">
        <v>164</v>
      </c>
      <c r="B70" s="3" t="s">
        <v>165</v>
      </c>
      <c r="C70" s="14" t="s">
        <v>157</v>
      </c>
      <c r="D70" s="3" t="s">
        <v>166</v>
      </c>
      <c r="E70" s="5" t="s">
        <v>21</v>
      </c>
      <c r="F70" s="6">
        <v>1</v>
      </c>
      <c r="G70" s="6">
        <v>1</v>
      </c>
      <c r="H70" s="5" t="s">
        <v>21</v>
      </c>
      <c r="I70" s="5" t="s">
        <v>21</v>
      </c>
      <c r="J70" s="5" t="s">
        <v>21</v>
      </c>
      <c r="K70" s="5" t="s">
        <v>21</v>
      </c>
      <c r="L70" s="6">
        <v>1</v>
      </c>
      <c r="M70" s="5" t="s">
        <v>21</v>
      </c>
      <c r="N70" s="5" t="s">
        <v>21</v>
      </c>
      <c r="O70" s="5" t="s">
        <v>21</v>
      </c>
      <c r="P70" s="6">
        <v>1</v>
      </c>
      <c r="Q70" s="7">
        <f t="shared" si="4"/>
        <v>4</v>
      </c>
      <c r="R70" s="7">
        <f t="shared" si="5"/>
        <v>4</v>
      </c>
    </row>
    <row r="71" spans="1:18" x14ac:dyDescent="0.25">
      <c r="A71" s="8" t="s">
        <v>167</v>
      </c>
      <c r="B71" s="9" t="s">
        <v>168</v>
      </c>
      <c r="C71" s="14" t="s">
        <v>157</v>
      </c>
      <c r="D71" s="9" t="s">
        <v>167</v>
      </c>
      <c r="E71" s="10" t="s">
        <v>21</v>
      </c>
      <c r="F71" s="10" t="s">
        <v>21</v>
      </c>
      <c r="G71" s="10" t="s">
        <v>21</v>
      </c>
      <c r="H71" s="10" t="s">
        <v>21</v>
      </c>
      <c r="I71" s="10" t="s">
        <v>21</v>
      </c>
      <c r="J71" s="10" t="s">
        <v>21</v>
      </c>
      <c r="K71" s="10" t="s">
        <v>21</v>
      </c>
      <c r="L71" s="10" t="s">
        <v>21</v>
      </c>
      <c r="M71" s="11">
        <v>6</v>
      </c>
      <c r="N71" s="10" t="s">
        <v>21</v>
      </c>
      <c r="O71" s="10" t="s">
        <v>21</v>
      </c>
      <c r="P71" s="10" t="s">
        <v>21</v>
      </c>
      <c r="Q71" s="7">
        <f t="shared" si="4"/>
        <v>6</v>
      </c>
      <c r="R71" s="7">
        <f t="shared" si="5"/>
        <v>1</v>
      </c>
    </row>
    <row r="72" spans="1:18" x14ac:dyDescent="0.25">
      <c r="A72" s="2" t="s">
        <v>169</v>
      </c>
      <c r="B72" s="3" t="s">
        <v>170</v>
      </c>
      <c r="C72" s="14" t="s">
        <v>157</v>
      </c>
      <c r="D72" s="3" t="s">
        <v>169</v>
      </c>
      <c r="E72" s="5" t="s">
        <v>21</v>
      </c>
      <c r="F72" s="6">
        <v>1</v>
      </c>
      <c r="G72" s="5" t="s">
        <v>21</v>
      </c>
      <c r="H72" s="5" t="s">
        <v>21</v>
      </c>
      <c r="I72" s="5" t="s">
        <v>21</v>
      </c>
      <c r="J72" s="5" t="s">
        <v>21</v>
      </c>
      <c r="K72" s="5" t="s">
        <v>21</v>
      </c>
      <c r="L72" s="5" t="s">
        <v>21</v>
      </c>
      <c r="M72" s="6">
        <v>1</v>
      </c>
      <c r="N72" s="5" t="s">
        <v>21</v>
      </c>
      <c r="O72" s="5" t="s">
        <v>21</v>
      </c>
      <c r="P72" s="6">
        <v>1</v>
      </c>
      <c r="Q72" s="7">
        <f t="shared" si="4"/>
        <v>3</v>
      </c>
      <c r="R72" s="7">
        <f t="shared" si="5"/>
        <v>3</v>
      </c>
    </row>
    <row r="73" spans="1:18" x14ac:dyDescent="0.25">
      <c r="A73" s="8" t="s">
        <v>171</v>
      </c>
      <c r="B73" s="9" t="s">
        <v>172</v>
      </c>
      <c r="C73" s="14" t="s">
        <v>157</v>
      </c>
      <c r="D73" s="9" t="s">
        <v>171</v>
      </c>
      <c r="E73" s="10" t="s">
        <v>21</v>
      </c>
      <c r="F73" s="11">
        <v>2</v>
      </c>
      <c r="G73" s="10" t="s">
        <v>21</v>
      </c>
      <c r="H73" s="10" t="s">
        <v>21</v>
      </c>
      <c r="I73" s="10" t="s">
        <v>21</v>
      </c>
      <c r="J73" s="10" t="s">
        <v>21</v>
      </c>
      <c r="K73" s="10" t="s">
        <v>21</v>
      </c>
      <c r="L73" s="10" t="s">
        <v>21</v>
      </c>
      <c r="M73" s="10" t="s">
        <v>21</v>
      </c>
      <c r="N73" s="10" t="s">
        <v>21</v>
      </c>
      <c r="O73" s="10" t="s">
        <v>21</v>
      </c>
      <c r="P73" s="10" t="s">
        <v>21</v>
      </c>
      <c r="Q73" s="7">
        <f t="shared" si="4"/>
        <v>2</v>
      </c>
      <c r="R73" s="7">
        <f t="shared" si="5"/>
        <v>1</v>
      </c>
    </row>
    <row r="74" spans="1:18" x14ac:dyDescent="0.25">
      <c r="A74" s="2" t="s">
        <v>173</v>
      </c>
      <c r="B74" s="3" t="s">
        <v>174</v>
      </c>
      <c r="C74" s="14" t="s">
        <v>157</v>
      </c>
      <c r="D74" s="3" t="s">
        <v>175</v>
      </c>
      <c r="E74" s="5" t="s">
        <v>21</v>
      </c>
      <c r="F74" s="5" t="s">
        <v>21</v>
      </c>
      <c r="G74" s="5" t="s">
        <v>21</v>
      </c>
      <c r="H74" s="5" t="s">
        <v>21</v>
      </c>
      <c r="I74" s="6">
        <v>2</v>
      </c>
      <c r="J74" s="5" t="s">
        <v>21</v>
      </c>
      <c r="K74" s="5" t="s">
        <v>21</v>
      </c>
      <c r="L74" s="5" t="s">
        <v>21</v>
      </c>
      <c r="M74" s="5" t="s">
        <v>21</v>
      </c>
      <c r="N74" s="5" t="s">
        <v>21</v>
      </c>
      <c r="O74" s="5" t="s">
        <v>21</v>
      </c>
      <c r="P74" s="5" t="s">
        <v>21</v>
      </c>
      <c r="Q74" s="7">
        <f t="shared" si="4"/>
        <v>2</v>
      </c>
      <c r="R74" s="7">
        <f t="shared" si="5"/>
        <v>1</v>
      </c>
    </row>
    <row r="75" spans="1:18" x14ac:dyDescent="0.25">
      <c r="A75" s="8" t="s">
        <v>176</v>
      </c>
      <c r="B75" s="9" t="s">
        <v>177</v>
      </c>
      <c r="C75" s="14" t="s">
        <v>157</v>
      </c>
      <c r="D75" s="9" t="s">
        <v>178</v>
      </c>
      <c r="E75" s="10" t="s">
        <v>21</v>
      </c>
      <c r="F75" s="11">
        <v>2</v>
      </c>
      <c r="G75" s="10" t="s">
        <v>21</v>
      </c>
      <c r="H75" s="10" t="s">
        <v>21</v>
      </c>
      <c r="I75" s="10" t="s">
        <v>21</v>
      </c>
      <c r="J75" s="10" t="s">
        <v>21</v>
      </c>
      <c r="K75" s="10" t="s">
        <v>21</v>
      </c>
      <c r="L75" s="10" t="s">
        <v>21</v>
      </c>
      <c r="M75" s="10" t="s">
        <v>21</v>
      </c>
      <c r="N75" s="10" t="s">
        <v>21</v>
      </c>
      <c r="O75" s="10" t="s">
        <v>21</v>
      </c>
      <c r="P75" s="10" t="s">
        <v>21</v>
      </c>
      <c r="Q75" s="7">
        <f t="shared" si="4"/>
        <v>2</v>
      </c>
      <c r="R75" s="7">
        <f t="shared" si="5"/>
        <v>1</v>
      </c>
    </row>
    <row r="76" spans="1:18" x14ac:dyDescent="0.25">
      <c r="A76" s="2" t="s">
        <v>179</v>
      </c>
      <c r="B76" s="3" t="s">
        <v>180</v>
      </c>
      <c r="C76" s="14" t="s">
        <v>157</v>
      </c>
      <c r="D76" s="3" t="s">
        <v>181</v>
      </c>
      <c r="E76" s="5" t="s">
        <v>21</v>
      </c>
      <c r="F76" s="5" t="s">
        <v>21</v>
      </c>
      <c r="G76" s="5" t="s">
        <v>21</v>
      </c>
      <c r="H76" s="5" t="s">
        <v>21</v>
      </c>
      <c r="I76" s="5" t="s">
        <v>21</v>
      </c>
      <c r="J76" s="5" t="s">
        <v>21</v>
      </c>
      <c r="K76" s="5" t="s">
        <v>21</v>
      </c>
      <c r="L76" s="5" t="s">
        <v>21</v>
      </c>
      <c r="M76" s="5" t="s">
        <v>21</v>
      </c>
      <c r="N76" s="6">
        <v>1</v>
      </c>
      <c r="O76" s="5" t="s">
        <v>21</v>
      </c>
      <c r="P76" s="5" t="s">
        <v>21</v>
      </c>
      <c r="Q76" s="7">
        <f t="shared" si="4"/>
        <v>1</v>
      </c>
      <c r="R76" s="7">
        <f t="shared" si="5"/>
        <v>1</v>
      </c>
    </row>
    <row r="77" spans="1:18" x14ac:dyDescent="0.25">
      <c r="A77" s="8" t="s">
        <v>182</v>
      </c>
      <c r="B77" s="9" t="s">
        <v>183</v>
      </c>
      <c r="C77" s="14" t="s">
        <v>157</v>
      </c>
      <c r="D77" s="9" t="s">
        <v>182</v>
      </c>
      <c r="E77" s="10" t="s">
        <v>21</v>
      </c>
      <c r="F77" s="11">
        <v>3</v>
      </c>
      <c r="G77" s="10" t="s">
        <v>21</v>
      </c>
      <c r="H77" s="10" t="s">
        <v>21</v>
      </c>
      <c r="I77" s="10" t="s">
        <v>21</v>
      </c>
      <c r="J77" s="10" t="s">
        <v>21</v>
      </c>
      <c r="K77" s="10" t="s">
        <v>21</v>
      </c>
      <c r="L77" s="10" t="s">
        <v>21</v>
      </c>
      <c r="M77" s="10" t="s">
        <v>21</v>
      </c>
      <c r="N77" s="10" t="s">
        <v>21</v>
      </c>
      <c r="O77" s="10" t="s">
        <v>21</v>
      </c>
      <c r="P77" s="10" t="s">
        <v>21</v>
      </c>
      <c r="Q77" s="7">
        <f t="shared" si="4"/>
        <v>3</v>
      </c>
      <c r="R77" s="7">
        <f t="shared" si="5"/>
        <v>1</v>
      </c>
    </row>
    <row r="78" spans="1:18" x14ac:dyDescent="0.25">
      <c r="A78" s="2" t="s">
        <v>184</v>
      </c>
      <c r="B78" s="3" t="s">
        <v>185</v>
      </c>
      <c r="C78" s="14" t="s">
        <v>157</v>
      </c>
      <c r="D78" s="3" t="s">
        <v>184</v>
      </c>
      <c r="E78" s="5" t="s">
        <v>21</v>
      </c>
      <c r="F78" s="6">
        <v>2</v>
      </c>
      <c r="G78" s="5" t="s">
        <v>21</v>
      </c>
      <c r="H78" s="5" t="s">
        <v>21</v>
      </c>
      <c r="I78" s="5" t="s">
        <v>21</v>
      </c>
      <c r="J78" s="5" t="s">
        <v>21</v>
      </c>
      <c r="K78" s="5" t="s">
        <v>21</v>
      </c>
      <c r="L78" s="5" t="s">
        <v>21</v>
      </c>
      <c r="M78" s="6">
        <v>2</v>
      </c>
      <c r="N78" s="5" t="s">
        <v>21</v>
      </c>
      <c r="O78" s="5" t="s">
        <v>21</v>
      </c>
      <c r="P78" s="6">
        <v>1</v>
      </c>
      <c r="Q78" s="7">
        <f t="shared" si="4"/>
        <v>5</v>
      </c>
      <c r="R78" s="7">
        <f t="shared" si="5"/>
        <v>3</v>
      </c>
    </row>
    <row r="79" spans="1:18" x14ac:dyDescent="0.25">
      <c r="A79" s="8" t="s">
        <v>186</v>
      </c>
      <c r="B79" s="9" t="s">
        <v>187</v>
      </c>
      <c r="C79" s="14" t="s">
        <v>157</v>
      </c>
      <c r="D79" s="9" t="s">
        <v>186</v>
      </c>
      <c r="E79" s="10" t="s">
        <v>21</v>
      </c>
      <c r="F79" s="10" t="s">
        <v>21</v>
      </c>
      <c r="G79" s="10" t="s">
        <v>21</v>
      </c>
      <c r="H79" s="10" t="s">
        <v>21</v>
      </c>
      <c r="I79" s="10" t="s">
        <v>21</v>
      </c>
      <c r="J79" s="10" t="s">
        <v>21</v>
      </c>
      <c r="K79" s="10" t="s">
        <v>21</v>
      </c>
      <c r="L79" s="10" t="s">
        <v>21</v>
      </c>
      <c r="M79" s="11">
        <v>4</v>
      </c>
      <c r="N79" s="10" t="s">
        <v>21</v>
      </c>
      <c r="O79" s="10" t="s">
        <v>21</v>
      </c>
      <c r="P79" s="10" t="s">
        <v>21</v>
      </c>
      <c r="Q79" s="7">
        <f t="shared" si="4"/>
        <v>4</v>
      </c>
      <c r="R79" s="7">
        <f t="shared" si="5"/>
        <v>1</v>
      </c>
    </row>
    <row r="80" spans="1:18" x14ac:dyDescent="0.25">
      <c r="A80" s="2" t="s">
        <v>188</v>
      </c>
      <c r="B80" s="3" t="s">
        <v>189</v>
      </c>
      <c r="C80" s="14" t="s">
        <v>157</v>
      </c>
      <c r="D80" s="3" t="s">
        <v>188</v>
      </c>
      <c r="E80" s="5" t="s">
        <v>21</v>
      </c>
      <c r="F80" s="6">
        <v>1</v>
      </c>
      <c r="G80" s="5" t="s">
        <v>21</v>
      </c>
      <c r="H80" s="5" t="s">
        <v>21</v>
      </c>
      <c r="I80" s="5" t="s">
        <v>21</v>
      </c>
      <c r="J80" s="5" t="s">
        <v>21</v>
      </c>
      <c r="K80" s="5" t="s">
        <v>21</v>
      </c>
      <c r="L80" s="5" t="s">
        <v>21</v>
      </c>
      <c r="M80" s="6">
        <v>1</v>
      </c>
      <c r="N80" s="5" t="s">
        <v>21</v>
      </c>
      <c r="O80" s="5" t="s">
        <v>21</v>
      </c>
      <c r="P80" s="6">
        <v>1</v>
      </c>
      <c r="Q80" s="7">
        <f t="shared" si="4"/>
        <v>3</v>
      </c>
      <c r="R80" s="7">
        <f t="shared" si="5"/>
        <v>3</v>
      </c>
    </row>
    <row r="81" spans="1:18" x14ac:dyDescent="0.25">
      <c r="A81" s="8" t="s">
        <v>190</v>
      </c>
      <c r="B81" s="9" t="s">
        <v>191</v>
      </c>
      <c r="C81" s="14" t="s">
        <v>157</v>
      </c>
      <c r="D81" s="9" t="s">
        <v>192</v>
      </c>
      <c r="E81" s="10" t="s">
        <v>21</v>
      </c>
      <c r="F81" s="11">
        <v>1</v>
      </c>
      <c r="G81" s="10" t="s">
        <v>21</v>
      </c>
      <c r="H81" s="10" t="s">
        <v>21</v>
      </c>
      <c r="I81" s="10" t="s">
        <v>21</v>
      </c>
      <c r="J81" s="10" t="s">
        <v>21</v>
      </c>
      <c r="K81" s="10" t="s">
        <v>21</v>
      </c>
      <c r="L81" s="10" t="s">
        <v>21</v>
      </c>
      <c r="M81" s="11">
        <v>1</v>
      </c>
      <c r="N81" s="10" t="s">
        <v>21</v>
      </c>
      <c r="O81" s="10" t="s">
        <v>21</v>
      </c>
      <c r="P81" s="10" t="s">
        <v>21</v>
      </c>
      <c r="Q81" s="7">
        <f t="shared" si="4"/>
        <v>2</v>
      </c>
      <c r="R81" s="7">
        <f t="shared" si="5"/>
        <v>2</v>
      </c>
    </row>
    <row r="82" spans="1:18" x14ac:dyDescent="0.25">
      <c r="A82" s="2" t="s">
        <v>193</v>
      </c>
      <c r="B82" s="3" t="s">
        <v>194</v>
      </c>
      <c r="C82" s="14" t="s">
        <v>157</v>
      </c>
      <c r="D82" s="3" t="s">
        <v>193</v>
      </c>
      <c r="E82" s="5" t="s">
        <v>21</v>
      </c>
      <c r="F82" s="5" t="s">
        <v>21</v>
      </c>
      <c r="G82" s="5" t="s">
        <v>21</v>
      </c>
      <c r="H82" s="5" t="s">
        <v>21</v>
      </c>
      <c r="I82" s="5" t="s">
        <v>21</v>
      </c>
      <c r="J82" s="5" t="s">
        <v>21</v>
      </c>
      <c r="K82" s="5" t="s">
        <v>21</v>
      </c>
      <c r="L82" s="5" t="s">
        <v>21</v>
      </c>
      <c r="M82" s="6">
        <v>2</v>
      </c>
      <c r="N82" s="5" t="s">
        <v>21</v>
      </c>
      <c r="O82" s="5" t="s">
        <v>21</v>
      </c>
      <c r="P82" s="5" t="s">
        <v>21</v>
      </c>
      <c r="Q82" s="7">
        <f t="shared" si="4"/>
        <v>2</v>
      </c>
      <c r="R82" s="7">
        <f t="shared" si="5"/>
        <v>1</v>
      </c>
    </row>
    <row r="83" spans="1:18" x14ac:dyDescent="0.25">
      <c r="A83" s="8" t="s">
        <v>195</v>
      </c>
      <c r="B83" s="9" t="s">
        <v>196</v>
      </c>
      <c r="C83" s="14" t="s">
        <v>157</v>
      </c>
      <c r="D83" s="9" t="s">
        <v>195</v>
      </c>
      <c r="E83" s="10" t="s">
        <v>21</v>
      </c>
      <c r="F83" s="10" t="s">
        <v>21</v>
      </c>
      <c r="G83" s="10" t="s">
        <v>21</v>
      </c>
      <c r="H83" s="10" t="s">
        <v>21</v>
      </c>
      <c r="I83" s="10" t="s">
        <v>21</v>
      </c>
      <c r="J83" s="10" t="s">
        <v>21</v>
      </c>
      <c r="K83" s="10" t="s">
        <v>21</v>
      </c>
      <c r="L83" s="10" t="s">
        <v>21</v>
      </c>
      <c r="M83" s="11">
        <v>1</v>
      </c>
      <c r="N83" s="10" t="s">
        <v>21</v>
      </c>
      <c r="O83" s="10" t="s">
        <v>21</v>
      </c>
      <c r="P83" s="10" t="s">
        <v>21</v>
      </c>
      <c r="Q83" s="7">
        <f t="shared" si="4"/>
        <v>1</v>
      </c>
      <c r="R83" s="7">
        <f t="shared" si="5"/>
        <v>1</v>
      </c>
    </row>
    <row r="84" spans="1:18" x14ac:dyDescent="0.25">
      <c r="A84" s="2" t="s">
        <v>197</v>
      </c>
      <c r="B84" s="3" t="s">
        <v>198</v>
      </c>
      <c r="C84" s="14" t="s">
        <v>157</v>
      </c>
      <c r="D84" s="3" t="s">
        <v>197</v>
      </c>
      <c r="E84" s="5" t="s">
        <v>21</v>
      </c>
      <c r="F84" s="5" t="s">
        <v>21</v>
      </c>
      <c r="G84" s="6">
        <v>2</v>
      </c>
      <c r="H84" s="6">
        <v>1</v>
      </c>
      <c r="I84" s="5" t="s">
        <v>21</v>
      </c>
      <c r="J84" s="5" t="s">
        <v>21</v>
      </c>
      <c r="K84" s="5" t="s">
        <v>21</v>
      </c>
      <c r="L84" s="5" t="s">
        <v>21</v>
      </c>
      <c r="M84" s="5" t="s">
        <v>21</v>
      </c>
      <c r="N84" s="5" t="s">
        <v>21</v>
      </c>
      <c r="O84" s="5" t="s">
        <v>21</v>
      </c>
      <c r="P84" s="5" t="s">
        <v>21</v>
      </c>
      <c r="Q84" s="7">
        <f t="shared" si="4"/>
        <v>3</v>
      </c>
      <c r="R84" s="7">
        <f t="shared" si="5"/>
        <v>2</v>
      </c>
    </row>
    <row r="85" spans="1:18" x14ac:dyDescent="0.25">
      <c r="A85" s="8" t="s">
        <v>199</v>
      </c>
      <c r="B85" s="9" t="s">
        <v>200</v>
      </c>
      <c r="C85" s="14" t="s">
        <v>157</v>
      </c>
      <c r="D85" s="9" t="s">
        <v>199</v>
      </c>
      <c r="E85" s="10" t="s">
        <v>21</v>
      </c>
      <c r="F85" s="10" t="s">
        <v>21</v>
      </c>
      <c r="G85" s="11">
        <v>1</v>
      </c>
      <c r="H85" s="10" t="s">
        <v>21</v>
      </c>
      <c r="I85" s="10" t="s">
        <v>21</v>
      </c>
      <c r="J85" s="10" t="s">
        <v>21</v>
      </c>
      <c r="K85" s="10" t="s">
        <v>21</v>
      </c>
      <c r="L85" s="10" t="s">
        <v>21</v>
      </c>
      <c r="M85" s="10" t="s">
        <v>21</v>
      </c>
      <c r="N85" s="10" t="s">
        <v>21</v>
      </c>
      <c r="O85" s="10" t="s">
        <v>21</v>
      </c>
      <c r="P85" s="10" t="s">
        <v>21</v>
      </c>
      <c r="Q85" s="7">
        <f t="shared" si="4"/>
        <v>1</v>
      </c>
      <c r="R85" s="7">
        <f t="shared" si="5"/>
        <v>1</v>
      </c>
    </row>
    <row r="86" spans="1:18" x14ac:dyDescent="0.25">
      <c r="A86" s="2" t="s">
        <v>201</v>
      </c>
      <c r="B86" s="3" t="s">
        <v>202</v>
      </c>
      <c r="C86" s="14" t="s">
        <v>157</v>
      </c>
      <c r="D86" s="3" t="s">
        <v>201</v>
      </c>
      <c r="E86" s="5" t="s">
        <v>21</v>
      </c>
      <c r="F86" s="5" t="s">
        <v>21</v>
      </c>
      <c r="G86" s="5" t="s">
        <v>21</v>
      </c>
      <c r="H86" s="5" t="s">
        <v>21</v>
      </c>
      <c r="I86" s="5" t="s">
        <v>21</v>
      </c>
      <c r="J86" s="5" t="s">
        <v>21</v>
      </c>
      <c r="K86" s="5" t="s">
        <v>21</v>
      </c>
      <c r="L86" s="5" t="s">
        <v>21</v>
      </c>
      <c r="M86" s="5" t="s">
        <v>21</v>
      </c>
      <c r="N86" s="5" t="s">
        <v>21</v>
      </c>
      <c r="O86" s="5" t="s">
        <v>21</v>
      </c>
      <c r="P86" s="6">
        <v>1</v>
      </c>
      <c r="Q86" s="7">
        <f t="shared" si="4"/>
        <v>1</v>
      </c>
      <c r="R86" s="7">
        <f t="shared" si="5"/>
        <v>1</v>
      </c>
    </row>
    <row r="87" spans="1:18" x14ac:dyDescent="0.25">
      <c r="A87" s="8" t="s">
        <v>203</v>
      </c>
      <c r="B87" s="9" t="s">
        <v>204</v>
      </c>
      <c r="C87" s="14" t="s">
        <v>157</v>
      </c>
      <c r="D87" s="9" t="s">
        <v>203</v>
      </c>
      <c r="E87" s="10" t="s">
        <v>21</v>
      </c>
      <c r="F87" s="11">
        <v>1</v>
      </c>
      <c r="G87" s="10" t="s">
        <v>21</v>
      </c>
      <c r="H87" s="10" t="s">
        <v>21</v>
      </c>
      <c r="I87" s="10" t="s">
        <v>21</v>
      </c>
      <c r="J87" s="10" t="s">
        <v>21</v>
      </c>
      <c r="K87" s="10" t="s">
        <v>21</v>
      </c>
      <c r="L87" s="10" t="s">
        <v>21</v>
      </c>
      <c r="M87" s="11">
        <v>1</v>
      </c>
      <c r="N87" s="10" t="s">
        <v>21</v>
      </c>
      <c r="O87" s="10" t="s">
        <v>21</v>
      </c>
      <c r="P87" s="10" t="s">
        <v>21</v>
      </c>
      <c r="Q87" s="7">
        <f t="shared" si="4"/>
        <v>2</v>
      </c>
      <c r="R87" s="7">
        <f t="shared" si="5"/>
        <v>2</v>
      </c>
    </row>
    <row r="88" spans="1:18" x14ac:dyDescent="0.25">
      <c r="A88" s="2" t="s">
        <v>205</v>
      </c>
      <c r="B88" s="3" t="s">
        <v>206</v>
      </c>
      <c r="C88" s="14" t="s">
        <v>157</v>
      </c>
      <c r="D88" s="3" t="s">
        <v>205</v>
      </c>
      <c r="E88" s="5" t="s">
        <v>21</v>
      </c>
      <c r="F88" s="6">
        <v>2</v>
      </c>
      <c r="G88" s="5" t="s">
        <v>21</v>
      </c>
      <c r="H88" s="5" t="s">
        <v>21</v>
      </c>
      <c r="I88" s="5" t="s">
        <v>21</v>
      </c>
      <c r="J88" s="5" t="s">
        <v>21</v>
      </c>
      <c r="K88" s="5" t="s">
        <v>21</v>
      </c>
      <c r="L88" s="5" t="s">
        <v>21</v>
      </c>
      <c r="M88" s="6">
        <v>2</v>
      </c>
      <c r="N88" s="5" t="s">
        <v>21</v>
      </c>
      <c r="O88" s="5" t="s">
        <v>21</v>
      </c>
      <c r="P88" s="6">
        <v>2</v>
      </c>
      <c r="Q88" s="7">
        <f t="shared" si="4"/>
        <v>6</v>
      </c>
      <c r="R88" s="7">
        <f t="shared" si="5"/>
        <v>3</v>
      </c>
    </row>
    <row r="89" spans="1:18" x14ac:dyDescent="0.25">
      <c r="A89" s="8" t="s">
        <v>207</v>
      </c>
      <c r="B89" s="9" t="s">
        <v>208</v>
      </c>
      <c r="C89" s="14" t="s">
        <v>157</v>
      </c>
      <c r="D89" s="9" t="s">
        <v>207</v>
      </c>
      <c r="E89" s="10" t="s">
        <v>21</v>
      </c>
      <c r="F89" s="10" t="s">
        <v>21</v>
      </c>
      <c r="G89" s="11">
        <v>6</v>
      </c>
      <c r="H89" s="11">
        <v>3</v>
      </c>
      <c r="I89" s="10" t="s">
        <v>21</v>
      </c>
      <c r="J89" s="10" t="s">
        <v>21</v>
      </c>
      <c r="K89" s="10" t="s">
        <v>21</v>
      </c>
      <c r="L89" s="10" t="s">
        <v>21</v>
      </c>
      <c r="M89" s="10" t="s">
        <v>21</v>
      </c>
      <c r="N89" s="10" t="s">
        <v>21</v>
      </c>
      <c r="O89" s="10" t="s">
        <v>21</v>
      </c>
      <c r="P89" s="10" t="s">
        <v>21</v>
      </c>
      <c r="Q89" s="7">
        <f t="shared" si="4"/>
        <v>9</v>
      </c>
      <c r="R89" s="7">
        <f t="shared" si="5"/>
        <v>2</v>
      </c>
    </row>
    <row r="90" spans="1:18" x14ac:dyDescent="0.25">
      <c r="A90" s="2" t="s">
        <v>209</v>
      </c>
      <c r="B90" s="3" t="s">
        <v>210</v>
      </c>
      <c r="C90" s="14" t="s">
        <v>157</v>
      </c>
      <c r="D90" s="3" t="s">
        <v>209</v>
      </c>
      <c r="E90" s="5" t="s">
        <v>21</v>
      </c>
      <c r="F90" s="5" t="s">
        <v>21</v>
      </c>
      <c r="G90" s="6">
        <v>1</v>
      </c>
      <c r="H90" s="6">
        <v>1</v>
      </c>
      <c r="I90" s="5" t="s">
        <v>21</v>
      </c>
      <c r="J90" s="5" t="s">
        <v>21</v>
      </c>
      <c r="K90" s="5" t="s">
        <v>21</v>
      </c>
      <c r="L90" s="5" t="s">
        <v>21</v>
      </c>
      <c r="M90" s="5" t="s">
        <v>21</v>
      </c>
      <c r="N90" s="5" t="s">
        <v>21</v>
      </c>
      <c r="O90" s="5" t="s">
        <v>21</v>
      </c>
      <c r="P90" s="5" t="s">
        <v>21</v>
      </c>
      <c r="Q90" s="7">
        <f t="shared" si="4"/>
        <v>2</v>
      </c>
      <c r="R90" s="7">
        <f t="shared" si="5"/>
        <v>2</v>
      </c>
    </row>
    <row r="91" spans="1:18" x14ac:dyDescent="0.25">
      <c r="A91" s="8" t="s">
        <v>211</v>
      </c>
      <c r="B91" s="9" t="s">
        <v>212</v>
      </c>
      <c r="C91" s="15" t="s">
        <v>213</v>
      </c>
      <c r="D91" s="9" t="s">
        <v>211</v>
      </c>
      <c r="E91" s="10" t="s">
        <v>21</v>
      </c>
      <c r="F91" s="11">
        <v>1</v>
      </c>
      <c r="G91" s="10" t="s">
        <v>21</v>
      </c>
      <c r="H91" s="10" t="s">
        <v>21</v>
      </c>
      <c r="I91" s="10" t="s">
        <v>21</v>
      </c>
      <c r="J91" s="10" t="s">
        <v>21</v>
      </c>
      <c r="K91" s="10" t="s">
        <v>21</v>
      </c>
      <c r="L91" s="10" t="s">
        <v>21</v>
      </c>
      <c r="M91" s="11">
        <v>1</v>
      </c>
      <c r="N91" s="10" t="s">
        <v>21</v>
      </c>
      <c r="O91" s="10" t="s">
        <v>21</v>
      </c>
      <c r="P91" s="11">
        <v>1</v>
      </c>
      <c r="Q91" s="7">
        <f t="shared" si="4"/>
        <v>3</v>
      </c>
      <c r="R91" s="7">
        <f t="shared" si="5"/>
        <v>3</v>
      </c>
    </row>
    <row r="92" spans="1:18" x14ac:dyDescent="0.25">
      <c r="A92" s="2" t="s">
        <v>214</v>
      </c>
      <c r="B92" s="3" t="s">
        <v>215</v>
      </c>
      <c r="C92" s="15" t="s">
        <v>213</v>
      </c>
      <c r="D92" s="3" t="s">
        <v>214</v>
      </c>
      <c r="E92" s="5" t="s">
        <v>21</v>
      </c>
      <c r="F92" s="5" t="s">
        <v>21</v>
      </c>
      <c r="G92" s="5" t="s">
        <v>21</v>
      </c>
      <c r="H92" s="5" t="s">
        <v>21</v>
      </c>
      <c r="I92" s="5" t="s">
        <v>21</v>
      </c>
      <c r="J92" s="5" t="s">
        <v>21</v>
      </c>
      <c r="K92" s="5" t="s">
        <v>21</v>
      </c>
      <c r="L92" s="5" t="s">
        <v>21</v>
      </c>
      <c r="M92" s="6">
        <v>1</v>
      </c>
      <c r="N92" s="5" t="s">
        <v>21</v>
      </c>
      <c r="O92" s="5" t="s">
        <v>21</v>
      </c>
      <c r="P92" s="5" t="s">
        <v>21</v>
      </c>
      <c r="Q92" s="7">
        <f t="shared" si="4"/>
        <v>1</v>
      </c>
      <c r="R92" s="7">
        <f t="shared" si="5"/>
        <v>1</v>
      </c>
    </row>
    <row r="93" spans="1:18" x14ac:dyDescent="0.25">
      <c r="A93" s="8" t="s">
        <v>216</v>
      </c>
      <c r="B93" s="9" t="s">
        <v>217</v>
      </c>
      <c r="C93" s="15" t="s">
        <v>213</v>
      </c>
      <c r="D93" s="9" t="s">
        <v>216</v>
      </c>
      <c r="E93" s="10" t="s">
        <v>21</v>
      </c>
      <c r="F93" s="11">
        <v>1</v>
      </c>
      <c r="G93" s="10" t="s">
        <v>21</v>
      </c>
      <c r="H93" s="10" t="s">
        <v>21</v>
      </c>
      <c r="I93" s="10" t="s">
        <v>21</v>
      </c>
      <c r="J93" s="10" t="s">
        <v>21</v>
      </c>
      <c r="K93" s="10" t="s">
        <v>21</v>
      </c>
      <c r="L93" s="10" t="s">
        <v>21</v>
      </c>
      <c r="M93" s="10" t="s">
        <v>21</v>
      </c>
      <c r="N93" s="10" t="s">
        <v>21</v>
      </c>
      <c r="O93" s="10" t="s">
        <v>21</v>
      </c>
      <c r="P93" s="10" t="s">
        <v>21</v>
      </c>
      <c r="Q93" s="7">
        <f t="shared" si="4"/>
        <v>1</v>
      </c>
      <c r="R93" s="7">
        <f t="shared" si="5"/>
        <v>1</v>
      </c>
    </row>
    <row r="94" spans="1:18" x14ac:dyDescent="0.25">
      <c r="A94" s="2" t="s">
        <v>218</v>
      </c>
      <c r="B94" s="3" t="s">
        <v>219</v>
      </c>
      <c r="C94" s="15" t="s">
        <v>213</v>
      </c>
      <c r="D94" s="3" t="s">
        <v>218</v>
      </c>
      <c r="E94" s="5" t="s">
        <v>21</v>
      </c>
      <c r="F94" s="5" t="s">
        <v>21</v>
      </c>
      <c r="G94" s="6">
        <v>1</v>
      </c>
      <c r="H94" s="5" t="s">
        <v>21</v>
      </c>
      <c r="I94" s="5" t="s">
        <v>21</v>
      </c>
      <c r="J94" s="5" t="s">
        <v>21</v>
      </c>
      <c r="K94" s="5" t="s">
        <v>21</v>
      </c>
      <c r="L94" s="5" t="s">
        <v>21</v>
      </c>
      <c r="M94" s="5" t="s">
        <v>21</v>
      </c>
      <c r="N94" s="5" t="s">
        <v>21</v>
      </c>
      <c r="O94" s="5" t="s">
        <v>21</v>
      </c>
      <c r="P94" s="5" t="s">
        <v>21</v>
      </c>
      <c r="Q94" s="7">
        <f t="shared" si="4"/>
        <v>1</v>
      </c>
      <c r="R94" s="7">
        <f t="shared" si="5"/>
        <v>1</v>
      </c>
    </row>
    <row r="95" spans="1:18" x14ac:dyDescent="0.25">
      <c r="A95" s="8" t="s">
        <v>220</v>
      </c>
      <c r="B95" s="9" t="s">
        <v>221</v>
      </c>
      <c r="C95" s="15" t="s">
        <v>213</v>
      </c>
      <c r="D95" s="9" t="s">
        <v>220</v>
      </c>
      <c r="E95" s="11">
        <v>2</v>
      </c>
      <c r="F95" s="10" t="s">
        <v>21</v>
      </c>
      <c r="G95" s="10" t="s">
        <v>21</v>
      </c>
      <c r="H95" s="10" t="s">
        <v>21</v>
      </c>
      <c r="I95" s="10" t="s">
        <v>21</v>
      </c>
      <c r="J95" s="10" t="s">
        <v>21</v>
      </c>
      <c r="K95" s="10" t="s">
        <v>21</v>
      </c>
      <c r="L95" s="10" t="s">
        <v>21</v>
      </c>
      <c r="M95" s="10" t="s">
        <v>21</v>
      </c>
      <c r="N95" s="11">
        <v>2</v>
      </c>
      <c r="O95" s="10" t="s">
        <v>21</v>
      </c>
      <c r="P95" s="10" t="s">
        <v>21</v>
      </c>
      <c r="Q95" s="7">
        <f t="shared" si="4"/>
        <v>4</v>
      </c>
      <c r="R95" s="7">
        <f t="shared" si="5"/>
        <v>2</v>
      </c>
    </row>
    <row r="96" spans="1:18" x14ac:dyDescent="0.25">
      <c r="A96" s="2" t="s">
        <v>222</v>
      </c>
      <c r="B96" s="3" t="s">
        <v>223</v>
      </c>
      <c r="C96" s="16" t="s">
        <v>224</v>
      </c>
      <c r="D96" s="3" t="s">
        <v>222</v>
      </c>
      <c r="E96" s="5" t="s">
        <v>21</v>
      </c>
      <c r="F96" s="5" t="s">
        <v>21</v>
      </c>
      <c r="G96" s="5" t="s">
        <v>21</v>
      </c>
      <c r="H96" s="5" t="s">
        <v>21</v>
      </c>
      <c r="I96" s="5" t="s">
        <v>21</v>
      </c>
      <c r="J96" s="5" t="s">
        <v>21</v>
      </c>
      <c r="K96" s="5" t="s">
        <v>21</v>
      </c>
      <c r="L96" s="5" t="s">
        <v>21</v>
      </c>
      <c r="M96" s="5" t="s">
        <v>21</v>
      </c>
      <c r="N96" s="5" t="s">
        <v>21</v>
      </c>
      <c r="O96" s="5" t="s">
        <v>21</v>
      </c>
      <c r="P96" s="6">
        <v>10</v>
      </c>
      <c r="Q96" s="7">
        <f t="shared" si="4"/>
        <v>10</v>
      </c>
      <c r="R96" s="7">
        <f t="shared" si="5"/>
        <v>1</v>
      </c>
    </row>
    <row r="97" spans="1:18" x14ac:dyDescent="0.25">
      <c r="A97" s="8" t="s">
        <v>225</v>
      </c>
      <c r="B97" s="9" t="s">
        <v>226</v>
      </c>
      <c r="C97" s="16" t="s">
        <v>224</v>
      </c>
      <c r="D97" s="9" t="s">
        <v>225</v>
      </c>
      <c r="E97" s="10" t="s">
        <v>21</v>
      </c>
      <c r="F97" s="11">
        <v>2</v>
      </c>
      <c r="G97" s="10" t="s">
        <v>21</v>
      </c>
      <c r="H97" s="10" t="s">
        <v>21</v>
      </c>
      <c r="I97" s="10" t="s">
        <v>21</v>
      </c>
      <c r="J97" s="10" t="s">
        <v>21</v>
      </c>
      <c r="K97" s="10" t="s">
        <v>21</v>
      </c>
      <c r="L97" s="10" t="s">
        <v>21</v>
      </c>
      <c r="M97" s="10" t="s">
        <v>21</v>
      </c>
      <c r="N97" s="10" t="s">
        <v>21</v>
      </c>
      <c r="O97" s="10" t="s">
        <v>21</v>
      </c>
      <c r="P97" s="10" t="s">
        <v>21</v>
      </c>
      <c r="Q97" s="7">
        <f t="shared" si="4"/>
        <v>2</v>
      </c>
      <c r="R97" s="7">
        <f t="shared" si="5"/>
        <v>1</v>
      </c>
    </row>
    <row r="98" spans="1:18" x14ac:dyDescent="0.25">
      <c r="A98" s="2" t="s">
        <v>227</v>
      </c>
      <c r="B98" s="3" t="s">
        <v>228</v>
      </c>
      <c r="C98" s="16" t="s">
        <v>224</v>
      </c>
      <c r="D98" s="3" t="s">
        <v>229</v>
      </c>
      <c r="E98" s="5" t="s">
        <v>21</v>
      </c>
      <c r="F98" s="6">
        <v>4</v>
      </c>
      <c r="G98" s="5" t="s">
        <v>21</v>
      </c>
      <c r="H98" s="6">
        <v>7</v>
      </c>
      <c r="I98" s="5" t="s">
        <v>21</v>
      </c>
      <c r="J98" s="5" t="s">
        <v>21</v>
      </c>
      <c r="K98" s="5" t="s">
        <v>21</v>
      </c>
      <c r="L98" s="5" t="s">
        <v>21</v>
      </c>
      <c r="M98" s="6">
        <v>8</v>
      </c>
      <c r="N98" s="5" t="s">
        <v>21</v>
      </c>
      <c r="O98" s="5" t="s">
        <v>21</v>
      </c>
      <c r="P98" s="6">
        <v>3</v>
      </c>
      <c r="Q98" s="7">
        <f t="shared" ref="Q98:Q129" si="6">SUMIF(E98:P98,"&gt;0")</f>
        <v>22</v>
      </c>
      <c r="R98" s="7">
        <f t="shared" ref="R98:R129" si="7">COUNTIF(E98:P98,"&gt;0")</f>
        <v>4</v>
      </c>
    </row>
    <row r="99" spans="1:18" x14ac:dyDescent="0.25">
      <c r="A99" s="8" t="s">
        <v>230</v>
      </c>
      <c r="B99" s="9" t="s">
        <v>230</v>
      </c>
      <c r="C99" s="16" t="s">
        <v>224</v>
      </c>
      <c r="D99" s="9" t="s">
        <v>231</v>
      </c>
      <c r="E99" s="10" t="s">
        <v>21</v>
      </c>
      <c r="F99" s="11">
        <v>2</v>
      </c>
      <c r="G99" s="10" t="s">
        <v>21</v>
      </c>
      <c r="H99" s="10" t="s">
        <v>21</v>
      </c>
      <c r="I99" s="10" t="s">
        <v>21</v>
      </c>
      <c r="J99" s="10" t="s">
        <v>21</v>
      </c>
      <c r="K99" s="10" t="s">
        <v>21</v>
      </c>
      <c r="L99" s="10" t="s">
        <v>21</v>
      </c>
      <c r="M99" s="11">
        <v>2</v>
      </c>
      <c r="N99" s="10" t="s">
        <v>21</v>
      </c>
      <c r="O99" s="10" t="s">
        <v>21</v>
      </c>
      <c r="P99" s="11">
        <v>2</v>
      </c>
      <c r="Q99" s="7">
        <f t="shared" si="6"/>
        <v>6</v>
      </c>
      <c r="R99" s="7">
        <f t="shared" si="7"/>
        <v>3</v>
      </c>
    </row>
    <row r="100" spans="1:18" x14ac:dyDescent="0.25">
      <c r="A100" s="2" t="s">
        <v>232</v>
      </c>
      <c r="B100" s="3" t="s">
        <v>232</v>
      </c>
      <c r="C100" s="16" t="s">
        <v>224</v>
      </c>
      <c r="D100" s="3" t="s">
        <v>233</v>
      </c>
      <c r="E100" s="5" t="s">
        <v>21</v>
      </c>
      <c r="F100" s="5" t="s">
        <v>21</v>
      </c>
      <c r="G100" s="6">
        <v>2</v>
      </c>
      <c r="H100" s="5" t="s">
        <v>21</v>
      </c>
      <c r="I100" s="5" t="s">
        <v>21</v>
      </c>
      <c r="J100" s="5" t="s">
        <v>21</v>
      </c>
      <c r="K100" s="5" t="s">
        <v>21</v>
      </c>
      <c r="L100" s="5" t="s">
        <v>21</v>
      </c>
      <c r="M100" s="5" t="s">
        <v>21</v>
      </c>
      <c r="N100" s="5" t="s">
        <v>21</v>
      </c>
      <c r="O100" s="5" t="s">
        <v>21</v>
      </c>
      <c r="P100" s="5" t="s">
        <v>21</v>
      </c>
      <c r="Q100" s="7">
        <f t="shared" si="6"/>
        <v>2</v>
      </c>
      <c r="R100" s="7">
        <f t="shared" si="7"/>
        <v>1</v>
      </c>
    </row>
    <row r="101" spans="1:18" x14ac:dyDescent="0.25">
      <c r="A101" s="8" t="s">
        <v>234</v>
      </c>
      <c r="B101" s="9" t="s">
        <v>234</v>
      </c>
      <c r="C101" s="16" t="s">
        <v>224</v>
      </c>
      <c r="D101" s="9" t="s">
        <v>235</v>
      </c>
      <c r="E101" s="10" t="s">
        <v>21</v>
      </c>
      <c r="F101" s="10" t="s">
        <v>21</v>
      </c>
      <c r="G101" s="11">
        <v>8</v>
      </c>
      <c r="H101" s="10" t="s">
        <v>21</v>
      </c>
      <c r="I101" s="10" t="s">
        <v>21</v>
      </c>
      <c r="J101" s="10" t="s">
        <v>21</v>
      </c>
      <c r="K101" s="10" t="s">
        <v>21</v>
      </c>
      <c r="L101" s="10" t="s">
        <v>21</v>
      </c>
      <c r="M101" s="11">
        <v>4</v>
      </c>
      <c r="N101" s="11">
        <v>1</v>
      </c>
      <c r="O101" s="10" t="s">
        <v>21</v>
      </c>
      <c r="P101" s="10" t="s">
        <v>21</v>
      </c>
      <c r="Q101" s="7">
        <f t="shared" si="6"/>
        <v>13</v>
      </c>
      <c r="R101" s="7">
        <f t="shared" si="7"/>
        <v>3</v>
      </c>
    </row>
    <row r="102" spans="1:18" x14ac:dyDescent="0.25">
      <c r="A102" s="2" t="s">
        <v>236</v>
      </c>
      <c r="B102" s="3" t="s">
        <v>236</v>
      </c>
      <c r="C102" s="16" t="s">
        <v>224</v>
      </c>
      <c r="D102" s="3" t="s">
        <v>237</v>
      </c>
      <c r="E102" s="5" t="s">
        <v>21</v>
      </c>
      <c r="F102" s="5" t="s">
        <v>21</v>
      </c>
      <c r="G102" s="5" t="s">
        <v>21</v>
      </c>
      <c r="H102" s="5" t="s">
        <v>21</v>
      </c>
      <c r="I102" s="5" t="s">
        <v>21</v>
      </c>
      <c r="J102" s="5" t="s">
        <v>21</v>
      </c>
      <c r="K102" s="5" t="s">
        <v>21</v>
      </c>
      <c r="L102" s="5" t="s">
        <v>21</v>
      </c>
      <c r="M102" s="5" t="s">
        <v>21</v>
      </c>
      <c r="N102" s="6">
        <v>1</v>
      </c>
      <c r="O102" s="5" t="s">
        <v>21</v>
      </c>
      <c r="P102" s="5" t="s">
        <v>21</v>
      </c>
      <c r="Q102" s="7">
        <f t="shared" si="6"/>
        <v>1</v>
      </c>
      <c r="R102" s="7">
        <f t="shared" si="7"/>
        <v>1</v>
      </c>
    </row>
    <row r="103" spans="1:18" x14ac:dyDescent="0.25">
      <c r="A103" s="8" t="s">
        <v>238</v>
      </c>
      <c r="B103" s="9" t="s">
        <v>239</v>
      </c>
      <c r="C103" s="16" t="s">
        <v>224</v>
      </c>
      <c r="D103" s="9" t="s">
        <v>238</v>
      </c>
      <c r="E103" s="10" t="s">
        <v>21</v>
      </c>
      <c r="F103" s="10" t="s">
        <v>21</v>
      </c>
      <c r="G103" s="10" t="s">
        <v>21</v>
      </c>
      <c r="H103" s="10" t="s">
        <v>21</v>
      </c>
      <c r="I103" s="10" t="s">
        <v>21</v>
      </c>
      <c r="J103" s="10" t="s">
        <v>21</v>
      </c>
      <c r="K103" s="10" t="s">
        <v>21</v>
      </c>
      <c r="L103" s="10" t="s">
        <v>21</v>
      </c>
      <c r="M103" s="10" t="s">
        <v>21</v>
      </c>
      <c r="N103" s="10" t="s">
        <v>21</v>
      </c>
      <c r="O103" s="10" t="s">
        <v>21</v>
      </c>
      <c r="P103" s="11">
        <v>1</v>
      </c>
      <c r="Q103" s="7">
        <f t="shared" si="6"/>
        <v>1</v>
      </c>
      <c r="R103" s="7">
        <f t="shared" si="7"/>
        <v>1</v>
      </c>
    </row>
    <row r="104" spans="1:18" x14ac:dyDescent="0.25">
      <c r="A104" s="2" t="s">
        <v>240</v>
      </c>
      <c r="B104" s="3" t="s">
        <v>241</v>
      </c>
      <c r="C104" s="16" t="s">
        <v>224</v>
      </c>
      <c r="D104" s="3" t="s">
        <v>242</v>
      </c>
      <c r="E104" s="6">
        <v>6</v>
      </c>
      <c r="F104" s="5" t="s">
        <v>21</v>
      </c>
      <c r="G104" s="5" t="s">
        <v>21</v>
      </c>
      <c r="H104" s="5" t="s">
        <v>21</v>
      </c>
      <c r="I104" s="5" t="s">
        <v>21</v>
      </c>
      <c r="J104" s="5" t="s">
        <v>21</v>
      </c>
      <c r="K104" s="5" t="s">
        <v>21</v>
      </c>
      <c r="L104" s="5" t="s">
        <v>21</v>
      </c>
      <c r="M104" s="5" t="s">
        <v>21</v>
      </c>
      <c r="N104" s="5" t="s">
        <v>21</v>
      </c>
      <c r="O104" s="5" t="s">
        <v>21</v>
      </c>
      <c r="P104" s="5" t="s">
        <v>21</v>
      </c>
      <c r="Q104" s="7">
        <f t="shared" si="6"/>
        <v>6</v>
      </c>
      <c r="R104" s="7">
        <f t="shared" si="7"/>
        <v>1</v>
      </c>
    </row>
    <row r="105" spans="1:18" x14ac:dyDescent="0.25">
      <c r="A105" s="8" t="s">
        <v>243</v>
      </c>
      <c r="B105" s="9" t="s">
        <v>244</v>
      </c>
      <c r="C105" s="17" t="s">
        <v>245</v>
      </c>
      <c r="D105" s="9" t="s">
        <v>246</v>
      </c>
      <c r="E105" s="10" t="s">
        <v>21</v>
      </c>
      <c r="F105" s="11">
        <v>4</v>
      </c>
      <c r="G105" s="11">
        <v>2</v>
      </c>
      <c r="H105" s="10" t="s">
        <v>21</v>
      </c>
      <c r="I105" s="10" t="s">
        <v>21</v>
      </c>
      <c r="J105" s="11">
        <v>2</v>
      </c>
      <c r="K105" s="10" t="s">
        <v>21</v>
      </c>
      <c r="L105" s="10" t="s">
        <v>21</v>
      </c>
      <c r="M105" s="10" t="s">
        <v>21</v>
      </c>
      <c r="N105" s="10" t="s">
        <v>21</v>
      </c>
      <c r="O105" s="10" t="s">
        <v>21</v>
      </c>
      <c r="P105" s="10" t="s">
        <v>21</v>
      </c>
      <c r="Q105" s="7">
        <f t="shared" si="6"/>
        <v>8</v>
      </c>
      <c r="R105" s="7">
        <f t="shared" si="7"/>
        <v>3</v>
      </c>
    </row>
    <row r="106" spans="1:18" x14ac:dyDescent="0.25">
      <c r="A106" s="2" t="s">
        <v>247</v>
      </c>
      <c r="B106" s="3" t="s">
        <v>248</v>
      </c>
      <c r="C106" s="17" t="s">
        <v>245</v>
      </c>
      <c r="D106" s="3" t="s">
        <v>247</v>
      </c>
      <c r="E106" s="6">
        <v>1</v>
      </c>
      <c r="F106" s="5" t="s">
        <v>21</v>
      </c>
      <c r="G106" s="5" t="s">
        <v>21</v>
      </c>
      <c r="H106" s="5" t="s">
        <v>21</v>
      </c>
      <c r="I106" s="5" t="s">
        <v>21</v>
      </c>
      <c r="J106" s="5" t="s">
        <v>21</v>
      </c>
      <c r="K106" s="5" t="s">
        <v>21</v>
      </c>
      <c r="L106" s="5" t="s">
        <v>21</v>
      </c>
      <c r="M106" s="5" t="s">
        <v>21</v>
      </c>
      <c r="N106" s="5" t="s">
        <v>21</v>
      </c>
      <c r="O106" s="5" t="s">
        <v>21</v>
      </c>
      <c r="P106" s="5" t="s">
        <v>21</v>
      </c>
      <c r="Q106" s="7">
        <f t="shared" si="6"/>
        <v>1</v>
      </c>
      <c r="R106" s="7">
        <f t="shared" si="7"/>
        <v>1</v>
      </c>
    </row>
    <row r="107" spans="1:18" x14ac:dyDescent="0.25">
      <c r="A107" s="8" t="s">
        <v>102</v>
      </c>
      <c r="B107" s="9" t="s">
        <v>103</v>
      </c>
      <c r="C107" s="17" t="s">
        <v>245</v>
      </c>
      <c r="D107" s="9" t="s">
        <v>104</v>
      </c>
      <c r="E107" s="10" t="s">
        <v>21</v>
      </c>
      <c r="F107" s="10" t="s">
        <v>21</v>
      </c>
      <c r="G107" s="11">
        <v>1</v>
      </c>
      <c r="H107" s="10" t="s">
        <v>21</v>
      </c>
      <c r="I107" s="10" t="s">
        <v>21</v>
      </c>
      <c r="J107" s="10" t="s">
        <v>21</v>
      </c>
      <c r="K107" s="10" t="s">
        <v>21</v>
      </c>
      <c r="L107" s="10" t="s">
        <v>21</v>
      </c>
      <c r="M107" s="10" t="s">
        <v>21</v>
      </c>
      <c r="N107" s="10" t="s">
        <v>21</v>
      </c>
      <c r="O107" s="10" t="s">
        <v>21</v>
      </c>
      <c r="P107" s="10" t="s">
        <v>21</v>
      </c>
      <c r="Q107" s="7">
        <f t="shared" si="6"/>
        <v>1</v>
      </c>
      <c r="R107" s="7">
        <f t="shared" si="7"/>
        <v>1</v>
      </c>
    </row>
    <row r="108" spans="1:18" x14ac:dyDescent="0.25">
      <c r="A108" s="2" t="s">
        <v>105</v>
      </c>
      <c r="B108" s="3" t="s">
        <v>106</v>
      </c>
      <c r="C108" s="17" t="s">
        <v>245</v>
      </c>
      <c r="D108" s="3" t="s">
        <v>107</v>
      </c>
      <c r="E108" s="5" t="s">
        <v>21</v>
      </c>
      <c r="F108" s="6">
        <v>2</v>
      </c>
      <c r="G108" s="5" t="s">
        <v>21</v>
      </c>
      <c r="H108" s="5" t="s">
        <v>21</v>
      </c>
      <c r="I108" s="5" t="s">
        <v>21</v>
      </c>
      <c r="J108" s="5" t="s">
        <v>21</v>
      </c>
      <c r="K108" s="5" t="s">
        <v>21</v>
      </c>
      <c r="L108" s="5" t="s">
        <v>21</v>
      </c>
      <c r="M108" s="5" t="s">
        <v>21</v>
      </c>
      <c r="N108" s="5" t="s">
        <v>21</v>
      </c>
      <c r="O108" s="5" t="s">
        <v>21</v>
      </c>
      <c r="P108" s="5" t="s">
        <v>21</v>
      </c>
      <c r="Q108" s="7">
        <f t="shared" si="6"/>
        <v>2</v>
      </c>
      <c r="R108" s="7">
        <f t="shared" si="7"/>
        <v>1</v>
      </c>
    </row>
    <row r="109" spans="1:18" x14ac:dyDescent="0.25">
      <c r="A109" s="8" t="s">
        <v>249</v>
      </c>
      <c r="B109" s="9" t="s">
        <v>250</v>
      </c>
      <c r="C109" s="17" t="s">
        <v>245</v>
      </c>
      <c r="D109" s="9" t="s">
        <v>251</v>
      </c>
      <c r="E109" s="10" t="s">
        <v>21</v>
      </c>
      <c r="F109" s="10" t="s">
        <v>21</v>
      </c>
      <c r="G109" s="11">
        <v>1</v>
      </c>
      <c r="H109" s="10" t="s">
        <v>21</v>
      </c>
      <c r="I109" s="10" t="s">
        <v>21</v>
      </c>
      <c r="J109" s="10" t="s">
        <v>21</v>
      </c>
      <c r="K109" s="10" t="s">
        <v>21</v>
      </c>
      <c r="L109" s="10" t="s">
        <v>21</v>
      </c>
      <c r="M109" s="10" t="s">
        <v>21</v>
      </c>
      <c r="N109" s="10" t="s">
        <v>21</v>
      </c>
      <c r="O109" s="10" t="s">
        <v>21</v>
      </c>
      <c r="P109" s="10" t="s">
        <v>21</v>
      </c>
      <c r="Q109" s="7">
        <f t="shared" si="6"/>
        <v>1</v>
      </c>
      <c r="R109" s="7">
        <f t="shared" si="7"/>
        <v>1</v>
      </c>
    </row>
    <row r="110" spans="1:18" x14ac:dyDescent="0.25">
      <c r="A110" s="2" t="s">
        <v>252</v>
      </c>
      <c r="B110" s="3" t="s">
        <v>253</v>
      </c>
      <c r="C110" s="17" t="s">
        <v>245</v>
      </c>
      <c r="D110" s="3" t="s">
        <v>252</v>
      </c>
      <c r="E110" s="5" t="s">
        <v>21</v>
      </c>
      <c r="F110" s="6">
        <v>1</v>
      </c>
      <c r="G110" s="5" t="s">
        <v>21</v>
      </c>
      <c r="H110" s="5" t="s">
        <v>21</v>
      </c>
      <c r="I110" s="5" t="s">
        <v>21</v>
      </c>
      <c r="J110" s="5" t="s">
        <v>21</v>
      </c>
      <c r="K110" s="5" t="s">
        <v>21</v>
      </c>
      <c r="L110" s="5" t="s">
        <v>21</v>
      </c>
      <c r="M110" s="5" t="s">
        <v>21</v>
      </c>
      <c r="N110" s="5" t="s">
        <v>21</v>
      </c>
      <c r="O110" s="5" t="s">
        <v>21</v>
      </c>
      <c r="P110" s="5" t="s">
        <v>21</v>
      </c>
      <c r="Q110" s="7">
        <f t="shared" si="6"/>
        <v>1</v>
      </c>
      <c r="R110" s="7">
        <f t="shared" si="7"/>
        <v>1</v>
      </c>
    </row>
    <row r="111" spans="1:18" x14ac:dyDescent="0.25">
      <c r="A111" s="8" t="s">
        <v>254</v>
      </c>
      <c r="B111" s="9" t="s">
        <v>255</v>
      </c>
      <c r="C111" s="17" t="s">
        <v>245</v>
      </c>
      <c r="D111" s="9" t="s">
        <v>254</v>
      </c>
      <c r="E111" s="10" t="s">
        <v>21</v>
      </c>
      <c r="F111" s="11">
        <v>1</v>
      </c>
      <c r="G111" s="10" t="s">
        <v>21</v>
      </c>
      <c r="H111" s="10" t="s">
        <v>21</v>
      </c>
      <c r="I111" s="10" t="s">
        <v>21</v>
      </c>
      <c r="J111" s="10" t="s">
        <v>21</v>
      </c>
      <c r="K111" s="10" t="s">
        <v>21</v>
      </c>
      <c r="L111" s="10" t="s">
        <v>21</v>
      </c>
      <c r="M111" s="10" t="s">
        <v>21</v>
      </c>
      <c r="N111" s="10" t="s">
        <v>21</v>
      </c>
      <c r="O111" s="10" t="s">
        <v>21</v>
      </c>
      <c r="P111" s="10" t="s">
        <v>21</v>
      </c>
      <c r="Q111" s="7">
        <f t="shared" si="6"/>
        <v>1</v>
      </c>
      <c r="R111" s="7">
        <f t="shared" si="7"/>
        <v>1</v>
      </c>
    </row>
    <row r="112" spans="1:18" x14ac:dyDescent="0.25">
      <c r="A112" s="2" t="s">
        <v>256</v>
      </c>
      <c r="B112" s="3" t="s">
        <v>257</v>
      </c>
      <c r="C112" s="17" t="s">
        <v>245</v>
      </c>
      <c r="D112" s="3" t="s">
        <v>256</v>
      </c>
      <c r="E112" s="5" t="s">
        <v>21</v>
      </c>
      <c r="F112" s="5" t="s">
        <v>21</v>
      </c>
      <c r="G112" s="5" t="s">
        <v>21</v>
      </c>
      <c r="H112" s="5" t="s">
        <v>21</v>
      </c>
      <c r="I112" s="5" t="s">
        <v>21</v>
      </c>
      <c r="J112" s="6">
        <v>4</v>
      </c>
      <c r="K112" s="5" t="s">
        <v>21</v>
      </c>
      <c r="L112" s="5" t="s">
        <v>21</v>
      </c>
      <c r="M112" s="5" t="s">
        <v>21</v>
      </c>
      <c r="N112" s="5" t="s">
        <v>21</v>
      </c>
      <c r="O112" s="5" t="s">
        <v>21</v>
      </c>
      <c r="P112" s="5" t="s">
        <v>21</v>
      </c>
      <c r="Q112" s="7">
        <f t="shared" si="6"/>
        <v>4</v>
      </c>
      <c r="R112" s="7">
        <f t="shared" si="7"/>
        <v>1</v>
      </c>
    </row>
    <row r="113" spans="1:18" x14ac:dyDescent="0.25">
      <c r="A113" s="8" t="s">
        <v>258</v>
      </c>
      <c r="B113" s="9" t="s">
        <v>259</v>
      </c>
      <c r="C113" s="17" t="s">
        <v>245</v>
      </c>
      <c r="D113" s="9" t="s">
        <v>258</v>
      </c>
      <c r="E113" s="10" t="s">
        <v>21</v>
      </c>
      <c r="F113" s="10" t="s">
        <v>21</v>
      </c>
      <c r="G113" s="10" t="s">
        <v>21</v>
      </c>
      <c r="H113" s="10" t="s">
        <v>21</v>
      </c>
      <c r="I113" s="10" t="s">
        <v>21</v>
      </c>
      <c r="J113" s="11">
        <v>12</v>
      </c>
      <c r="K113" s="10" t="s">
        <v>21</v>
      </c>
      <c r="L113" s="10" t="s">
        <v>21</v>
      </c>
      <c r="M113" s="10" t="s">
        <v>21</v>
      </c>
      <c r="N113" s="10" t="s">
        <v>21</v>
      </c>
      <c r="O113" s="10" t="s">
        <v>21</v>
      </c>
      <c r="P113" s="10" t="s">
        <v>21</v>
      </c>
      <c r="Q113" s="7">
        <f t="shared" si="6"/>
        <v>12</v>
      </c>
      <c r="R113" s="7">
        <f t="shared" si="7"/>
        <v>1</v>
      </c>
    </row>
    <row r="114" spans="1:18" x14ac:dyDescent="0.25">
      <c r="A114" s="2" t="s">
        <v>260</v>
      </c>
      <c r="B114" s="3" t="s">
        <v>261</v>
      </c>
      <c r="C114" s="17" t="s">
        <v>245</v>
      </c>
      <c r="D114" s="3" t="s">
        <v>262</v>
      </c>
      <c r="E114" s="5" t="s">
        <v>21</v>
      </c>
      <c r="F114" s="5" t="s">
        <v>21</v>
      </c>
      <c r="G114" s="5" t="s">
        <v>21</v>
      </c>
      <c r="H114" s="5" t="s">
        <v>21</v>
      </c>
      <c r="I114" s="5" t="s">
        <v>21</v>
      </c>
      <c r="J114" s="5" t="s">
        <v>21</v>
      </c>
      <c r="K114" s="5" t="s">
        <v>21</v>
      </c>
      <c r="L114" s="5" t="s">
        <v>21</v>
      </c>
      <c r="M114" s="5" t="s">
        <v>21</v>
      </c>
      <c r="N114" s="5" t="s">
        <v>21</v>
      </c>
      <c r="O114" s="5" t="s">
        <v>21</v>
      </c>
      <c r="P114" s="6">
        <v>1</v>
      </c>
      <c r="Q114" s="7">
        <f t="shared" si="6"/>
        <v>1</v>
      </c>
      <c r="R114" s="7">
        <f t="shared" si="7"/>
        <v>1</v>
      </c>
    </row>
    <row r="115" spans="1:18" x14ac:dyDescent="0.25">
      <c r="A115" s="8" t="s">
        <v>263</v>
      </c>
      <c r="B115" s="9" t="s">
        <v>264</v>
      </c>
      <c r="C115" s="17" t="s">
        <v>245</v>
      </c>
      <c r="D115" s="9" t="s">
        <v>263</v>
      </c>
      <c r="E115" s="10" t="s">
        <v>21</v>
      </c>
      <c r="F115" s="10" t="s">
        <v>21</v>
      </c>
      <c r="G115" s="10" t="s">
        <v>21</v>
      </c>
      <c r="H115" s="10" t="s">
        <v>21</v>
      </c>
      <c r="I115" s="11">
        <v>32</v>
      </c>
      <c r="J115" s="10" t="s">
        <v>21</v>
      </c>
      <c r="K115" s="10" t="s">
        <v>21</v>
      </c>
      <c r="L115" s="10" t="s">
        <v>21</v>
      </c>
      <c r="M115" s="10" t="s">
        <v>21</v>
      </c>
      <c r="N115" s="10" t="s">
        <v>21</v>
      </c>
      <c r="O115" s="10" t="s">
        <v>21</v>
      </c>
      <c r="P115" s="10" t="s">
        <v>21</v>
      </c>
      <c r="Q115" s="7">
        <f t="shared" si="6"/>
        <v>32</v>
      </c>
      <c r="R115" s="7">
        <f t="shared" si="7"/>
        <v>1</v>
      </c>
    </row>
    <row r="116" spans="1:18" x14ac:dyDescent="0.25">
      <c r="A116" s="2" t="s">
        <v>265</v>
      </c>
      <c r="B116" s="3" t="s">
        <v>266</v>
      </c>
      <c r="C116" s="17" t="s">
        <v>245</v>
      </c>
      <c r="D116" s="3" t="s">
        <v>265</v>
      </c>
      <c r="E116" s="5" t="s">
        <v>21</v>
      </c>
      <c r="F116" s="5" t="s">
        <v>21</v>
      </c>
      <c r="G116" s="5" t="s">
        <v>21</v>
      </c>
      <c r="H116" s="5" t="s">
        <v>21</v>
      </c>
      <c r="I116" s="6">
        <v>34</v>
      </c>
      <c r="J116" s="5" t="s">
        <v>21</v>
      </c>
      <c r="K116" s="5" t="s">
        <v>21</v>
      </c>
      <c r="L116" s="5" t="s">
        <v>21</v>
      </c>
      <c r="M116" s="5" t="s">
        <v>21</v>
      </c>
      <c r="N116" s="5" t="s">
        <v>21</v>
      </c>
      <c r="O116" s="5" t="s">
        <v>21</v>
      </c>
      <c r="P116" s="5" t="s">
        <v>21</v>
      </c>
      <c r="Q116" s="7">
        <f t="shared" si="6"/>
        <v>34</v>
      </c>
      <c r="R116" s="7">
        <f t="shared" si="7"/>
        <v>1</v>
      </c>
    </row>
    <row r="117" spans="1:18" x14ac:dyDescent="0.25">
      <c r="A117" s="8" t="s">
        <v>267</v>
      </c>
      <c r="B117" s="9" t="s">
        <v>268</v>
      </c>
      <c r="C117" s="17" t="s">
        <v>245</v>
      </c>
      <c r="D117" s="9" t="s">
        <v>267</v>
      </c>
      <c r="E117" s="10" t="s">
        <v>21</v>
      </c>
      <c r="F117" s="11">
        <v>7</v>
      </c>
      <c r="G117" s="11">
        <v>2</v>
      </c>
      <c r="H117" s="10" t="s">
        <v>21</v>
      </c>
      <c r="I117" s="10" t="s">
        <v>21</v>
      </c>
      <c r="J117" s="10" t="s">
        <v>21</v>
      </c>
      <c r="K117" s="10" t="s">
        <v>21</v>
      </c>
      <c r="L117" s="11">
        <v>2</v>
      </c>
      <c r="M117" s="10" t="s">
        <v>21</v>
      </c>
      <c r="N117" s="10" t="s">
        <v>21</v>
      </c>
      <c r="O117" s="10" t="s">
        <v>21</v>
      </c>
      <c r="P117" s="11">
        <v>1</v>
      </c>
      <c r="Q117" s="7">
        <f t="shared" si="6"/>
        <v>12</v>
      </c>
      <c r="R117" s="7">
        <f t="shared" si="7"/>
        <v>4</v>
      </c>
    </row>
    <row r="118" spans="1:18" x14ac:dyDescent="0.25">
      <c r="A118" s="2" t="s">
        <v>269</v>
      </c>
      <c r="B118" s="3" t="s">
        <v>270</v>
      </c>
      <c r="C118" s="17" t="s">
        <v>245</v>
      </c>
      <c r="D118" s="3" t="s">
        <v>271</v>
      </c>
      <c r="E118" s="6">
        <v>4</v>
      </c>
      <c r="F118" s="5" t="s">
        <v>21</v>
      </c>
      <c r="G118" s="5" t="s">
        <v>21</v>
      </c>
      <c r="H118" s="5" t="s">
        <v>21</v>
      </c>
      <c r="I118" s="5" t="s">
        <v>21</v>
      </c>
      <c r="J118" s="5" t="s">
        <v>21</v>
      </c>
      <c r="K118" s="5" t="s">
        <v>21</v>
      </c>
      <c r="L118" s="5" t="s">
        <v>21</v>
      </c>
      <c r="M118" s="5" t="s">
        <v>21</v>
      </c>
      <c r="N118" s="5" t="s">
        <v>21</v>
      </c>
      <c r="O118" s="5" t="s">
        <v>21</v>
      </c>
      <c r="P118" s="5" t="s">
        <v>21</v>
      </c>
      <c r="Q118" s="7">
        <f t="shared" si="6"/>
        <v>4</v>
      </c>
      <c r="R118" s="7">
        <f t="shared" si="7"/>
        <v>1</v>
      </c>
    </row>
    <row r="119" spans="1:18" x14ac:dyDescent="0.25">
      <c r="A119" s="8" t="s">
        <v>272</v>
      </c>
      <c r="B119" s="9" t="s">
        <v>272</v>
      </c>
      <c r="C119" s="17" t="s">
        <v>245</v>
      </c>
      <c r="D119" s="9" t="s">
        <v>273</v>
      </c>
      <c r="E119" s="10" t="s">
        <v>21</v>
      </c>
      <c r="F119" s="10" t="s">
        <v>21</v>
      </c>
      <c r="G119" s="11">
        <v>1</v>
      </c>
      <c r="H119" s="11">
        <v>1</v>
      </c>
      <c r="I119" s="10" t="s">
        <v>21</v>
      </c>
      <c r="J119" s="10" t="s">
        <v>21</v>
      </c>
      <c r="K119" s="10" t="s">
        <v>21</v>
      </c>
      <c r="L119" s="10" t="s">
        <v>21</v>
      </c>
      <c r="M119" s="10" t="s">
        <v>21</v>
      </c>
      <c r="N119" s="10" t="s">
        <v>21</v>
      </c>
      <c r="O119" s="10" t="s">
        <v>21</v>
      </c>
      <c r="P119" s="10" t="s">
        <v>21</v>
      </c>
      <c r="Q119" s="7">
        <f t="shared" si="6"/>
        <v>2</v>
      </c>
      <c r="R119" s="7">
        <f t="shared" si="7"/>
        <v>2</v>
      </c>
    </row>
    <row r="120" spans="1:18" x14ac:dyDescent="0.25">
      <c r="A120" s="2" t="s">
        <v>274</v>
      </c>
      <c r="B120" s="3" t="s">
        <v>275</v>
      </c>
      <c r="C120" s="17" t="s">
        <v>245</v>
      </c>
      <c r="D120" s="3" t="s">
        <v>276</v>
      </c>
      <c r="E120" s="5" t="s">
        <v>21</v>
      </c>
      <c r="F120" s="5" t="s">
        <v>21</v>
      </c>
      <c r="G120" s="5" t="s">
        <v>21</v>
      </c>
      <c r="H120" s="5" t="s">
        <v>21</v>
      </c>
      <c r="I120" s="6">
        <v>3</v>
      </c>
      <c r="J120" s="5" t="s">
        <v>21</v>
      </c>
      <c r="K120" s="5" t="s">
        <v>21</v>
      </c>
      <c r="L120" s="5" t="s">
        <v>21</v>
      </c>
      <c r="M120" s="5" t="s">
        <v>21</v>
      </c>
      <c r="N120" s="5" t="s">
        <v>21</v>
      </c>
      <c r="O120" s="5" t="s">
        <v>21</v>
      </c>
      <c r="P120" s="5" t="s">
        <v>21</v>
      </c>
      <c r="Q120" s="7">
        <f t="shared" si="6"/>
        <v>3</v>
      </c>
      <c r="R120" s="7">
        <f t="shared" si="7"/>
        <v>1</v>
      </c>
    </row>
    <row r="121" spans="1:18" x14ac:dyDescent="0.25">
      <c r="A121" s="8" t="s">
        <v>277</v>
      </c>
      <c r="B121" s="9" t="s">
        <v>278</v>
      </c>
      <c r="C121" s="18" t="s">
        <v>279</v>
      </c>
      <c r="D121" s="9" t="s">
        <v>280</v>
      </c>
      <c r="E121" s="10" t="s">
        <v>21</v>
      </c>
      <c r="F121" s="10" t="s">
        <v>21</v>
      </c>
      <c r="G121" s="10" t="s">
        <v>21</v>
      </c>
      <c r="H121" s="10" t="s">
        <v>21</v>
      </c>
      <c r="I121" s="10" t="s">
        <v>21</v>
      </c>
      <c r="J121" s="10" t="s">
        <v>21</v>
      </c>
      <c r="K121" s="10" t="s">
        <v>21</v>
      </c>
      <c r="L121" s="10" t="s">
        <v>21</v>
      </c>
      <c r="M121" s="11">
        <v>4</v>
      </c>
      <c r="N121" s="10" t="s">
        <v>21</v>
      </c>
      <c r="O121" s="10" t="s">
        <v>21</v>
      </c>
      <c r="P121" s="10" t="s">
        <v>21</v>
      </c>
      <c r="Q121" s="7">
        <f t="shared" si="6"/>
        <v>4</v>
      </c>
      <c r="R121" s="7">
        <f t="shared" si="7"/>
        <v>1</v>
      </c>
    </row>
    <row r="122" spans="1:18" x14ac:dyDescent="0.25">
      <c r="A122" s="2" t="s">
        <v>281</v>
      </c>
      <c r="B122" s="3" t="s">
        <v>281</v>
      </c>
      <c r="C122" s="18" t="s">
        <v>279</v>
      </c>
      <c r="D122" s="3" t="s">
        <v>282</v>
      </c>
      <c r="E122" s="5" t="s">
        <v>21</v>
      </c>
      <c r="F122" s="5" t="s">
        <v>21</v>
      </c>
      <c r="G122" s="5" t="s">
        <v>21</v>
      </c>
      <c r="H122" s="5" t="s">
        <v>21</v>
      </c>
      <c r="I122" s="6">
        <v>6</v>
      </c>
      <c r="J122" s="5" t="s">
        <v>21</v>
      </c>
      <c r="K122" s="5" t="s">
        <v>21</v>
      </c>
      <c r="L122" s="5" t="s">
        <v>21</v>
      </c>
      <c r="M122" s="5" t="s">
        <v>21</v>
      </c>
      <c r="N122" s="5" t="s">
        <v>21</v>
      </c>
      <c r="O122" s="5" t="s">
        <v>21</v>
      </c>
      <c r="P122" s="5" t="s">
        <v>21</v>
      </c>
      <c r="Q122" s="7">
        <f t="shared" si="6"/>
        <v>6</v>
      </c>
      <c r="R122" s="7">
        <f t="shared" si="7"/>
        <v>1</v>
      </c>
    </row>
    <row r="123" spans="1:18" x14ac:dyDescent="0.25">
      <c r="A123" s="8" t="s">
        <v>283</v>
      </c>
      <c r="B123" s="9" t="s">
        <v>284</v>
      </c>
      <c r="C123" s="18" t="s">
        <v>279</v>
      </c>
      <c r="D123" s="9" t="s">
        <v>285</v>
      </c>
      <c r="E123" s="11">
        <v>2</v>
      </c>
      <c r="F123" s="10" t="s">
        <v>21</v>
      </c>
      <c r="G123" s="10" t="s">
        <v>21</v>
      </c>
      <c r="H123" s="10" t="s">
        <v>21</v>
      </c>
      <c r="I123" s="10" t="s">
        <v>21</v>
      </c>
      <c r="J123" s="10" t="s">
        <v>21</v>
      </c>
      <c r="K123" s="10" t="s">
        <v>21</v>
      </c>
      <c r="L123" s="10" t="s">
        <v>21</v>
      </c>
      <c r="M123" s="10" t="s">
        <v>21</v>
      </c>
      <c r="N123" s="10" t="s">
        <v>21</v>
      </c>
      <c r="O123" s="10" t="s">
        <v>21</v>
      </c>
      <c r="P123" s="10" t="s">
        <v>21</v>
      </c>
      <c r="Q123" s="7">
        <f t="shared" si="6"/>
        <v>2</v>
      </c>
      <c r="R123" s="7">
        <f t="shared" si="7"/>
        <v>1</v>
      </c>
    </row>
    <row r="124" spans="1:18" x14ac:dyDescent="0.25">
      <c r="A124" s="2" t="s">
        <v>286</v>
      </c>
      <c r="B124" s="3" t="s">
        <v>286</v>
      </c>
      <c r="C124" s="18" t="s">
        <v>279</v>
      </c>
      <c r="D124" s="3" t="s">
        <v>287</v>
      </c>
      <c r="E124" s="5" t="s">
        <v>21</v>
      </c>
      <c r="F124" s="6">
        <v>2</v>
      </c>
      <c r="G124" s="6">
        <v>4</v>
      </c>
      <c r="H124" s="5" t="s">
        <v>21</v>
      </c>
      <c r="I124" s="6">
        <v>30</v>
      </c>
      <c r="J124" s="5" t="s">
        <v>21</v>
      </c>
      <c r="K124" s="5" t="s">
        <v>21</v>
      </c>
      <c r="L124" s="6">
        <v>1</v>
      </c>
      <c r="M124" s="5" t="s">
        <v>21</v>
      </c>
      <c r="N124" s="6">
        <v>2</v>
      </c>
      <c r="O124" s="5" t="s">
        <v>21</v>
      </c>
      <c r="P124" s="6">
        <v>1</v>
      </c>
      <c r="Q124" s="7">
        <f t="shared" si="6"/>
        <v>40</v>
      </c>
      <c r="R124" s="7">
        <f t="shared" si="7"/>
        <v>6</v>
      </c>
    </row>
    <row r="125" spans="1:18" x14ac:dyDescent="0.25">
      <c r="A125" s="8" t="s">
        <v>286</v>
      </c>
      <c r="B125" s="9" t="s">
        <v>288</v>
      </c>
      <c r="C125" s="18" t="s">
        <v>279</v>
      </c>
      <c r="D125" s="9" t="s">
        <v>289</v>
      </c>
      <c r="E125" s="10" t="s">
        <v>21</v>
      </c>
      <c r="F125" s="11">
        <v>2</v>
      </c>
      <c r="G125" s="10" t="s">
        <v>21</v>
      </c>
      <c r="H125" s="10" t="s">
        <v>21</v>
      </c>
      <c r="I125" s="10" t="s">
        <v>21</v>
      </c>
      <c r="J125" s="10" t="s">
        <v>21</v>
      </c>
      <c r="K125" s="10" t="s">
        <v>21</v>
      </c>
      <c r="L125" s="10" t="s">
        <v>21</v>
      </c>
      <c r="M125" s="10" t="s">
        <v>21</v>
      </c>
      <c r="N125" s="10" t="s">
        <v>21</v>
      </c>
      <c r="O125" s="10" t="s">
        <v>21</v>
      </c>
      <c r="P125" s="10" t="s">
        <v>21</v>
      </c>
      <c r="Q125" s="7">
        <f t="shared" si="6"/>
        <v>2</v>
      </c>
      <c r="R125" s="7">
        <f t="shared" si="7"/>
        <v>1</v>
      </c>
    </row>
    <row r="126" spans="1:18" x14ac:dyDescent="0.25">
      <c r="A126" s="2" t="s">
        <v>290</v>
      </c>
      <c r="B126" s="3" t="s">
        <v>291</v>
      </c>
      <c r="C126" s="18" t="s">
        <v>279</v>
      </c>
      <c r="D126" s="3" t="s">
        <v>292</v>
      </c>
      <c r="E126" s="5" t="s">
        <v>21</v>
      </c>
      <c r="F126" s="5" t="s">
        <v>21</v>
      </c>
      <c r="G126" s="6">
        <v>11</v>
      </c>
      <c r="H126" s="5" t="s">
        <v>21</v>
      </c>
      <c r="I126" s="6">
        <v>2</v>
      </c>
      <c r="J126" s="5" t="s">
        <v>21</v>
      </c>
      <c r="K126" s="5" t="s">
        <v>21</v>
      </c>
      <c r="L126" s="5" t="s">
        <v>21</v>
      </c>
      <c r="M126" s="5" t="s">
        <v>21</v>
      </c>
      <c r="N126" s="5" t="s">
        <v>21</v>
      </c>
      <c r="O126" s="5" t="s">
        <v>21</v>
      </c>
      <c r="P126" s="5" t="s">
        <v>21</v>
      </c>
      <c r="Q126" s="7">
        <f t="shared" si="6"/>
        <v>13</v>
      </c>
      <c r="R126" s="7">
        <f t="shared" si="7"/>
        <v>2</v>
      </c>
    </row>
    <row r="127" spans="1:18" x14ac:dyDescent="0.25">
      <c r="A127" s="8" t="s">
        <v>293</v>
      </c>
      <c r="B127" s="9" t="s">
        <v>293</v>
      </c>
      <c r="C127" s="18" t="s">
        <v>279</v>
      </c>
      <c r="D127" s="9" t="s">
        <v>294</v>
      </c>
      <c r="E127" s="10" t="s">
        <v>21</v>
      </c>
      <c r="F127" s="10" t="s">
        <v>21</v>
      </c>
      <c r="G127" s="10" t="s">
        <v>21</v>
      </c>
      <c r="H127" s="10" t="s">
        <v>21</v>
      </c>
      <c r="I127" s="11">
        <v>28</v>
      </c>
      <c r="J127" s="10" t="s">
        <v>21</v>
      </c>
      <c r="K127" s="10" t="s">
        <v>21</v>
      </c>
      <c r="L127" s="10" t="s">
        <v>21</v>
      </c>
      <c r="M127" s="10" t="s">
        <v>21</v>
      </c>
      <c r="N127" s="10" t="s">
        <v>21</v>
      </c>
      <c r="O127" s="10" t="s">
        <v>21</v>
      </c>
      <c r="P127" s="10" t="s">
        <v>21</v>
      </c>
      <c r="Q127" s="7">
        <f t="shared" si="6"/>
        <v>28</v>
      </c>
      <c r="R127" s="7">
        <f t="shared" si="7"/>
        <v>1</v>
      </c>
    </row>
    <row r="128" spans="1:18" x14ac:dyDescent="0.25">
      <c r="A128" s="2" t="s">
        <v>295</v>
      </c>
      <c r="B128" s="3" t="s">
        <v>296</v>
      </c>
      <c r="C128" s="18" t="s">
        <v>279</v>
      </c>
      <c r="D128" s="3" t="s">
        <v>297</v>
      </c>
      <c r="E128" s="5" t="s">
        <v>21</v>
      </c>
      <c r="F128" s="5" t="s">
        <v>21</v>
      </c>
      <c r="G128" s="5" t="s">
        <v>21</v>
      </c>
      <c r="H128" s="5" t="s">
        <v>21</v>
      </c>
      <c r="I128" s="5" t="s">
        <v>21</v>
      </c>
      <c r="J128" s="5" t="s">
        <v>21</v>
      </c>
      <c r="K128" s="5" t="s">
        <v>21</v>
      </c>
      <c r="L128" s="5" t="s">
        <v>21</v>
      </c>
      <c r="M128" s="5" t="s">
        <v>21</v>
      </c>
      <c r="N128" s="6">
        <v>1</v>
      </c>
      <c r="O128" s="5" t="s">
        <v>21</v>
      </c>
      <c r="P128" s="5" t="s">
        <v>21</v>
      </c>
      <c r="Q128" s="7">
        <f t="shared" si="6"/>
        <v>1</v>
      </c>
      <c r="R128" s="7">
        <f t="shared" si="7"/>
        <v>1</v>
      </c>
    </row>
    <row r="129" spans="1:18" x14ac:dyDescent="0.25">
      <c r="A129" s="8" t="s">
        <v>298</v>
      </c>
      <c r="B129" s="9" t="s">
        <v>299</v>
      </c>
      <c r="C129" s="18" t="s">
        <v>279</v>
      </c>
      <c r="D129" s="9" t="s">
        <v>300</v>
      </c>
      <c r="E129" s="10" t="s">
        <v>21</v>
      </c>
      <c r="F129" s="11">
        <v>2</v>
      </c>
      <c r="G129" s="10" t="s">
        <v>21</v>
      </c>
      <c r="H129" s="10" t="s">
        <v>21</v>
      </c>
      <c r="I129" s="10" t="s">
        <v>21</v>
      </c>
      <c r="J129" s="10" t="s">
        <v>21</v>
      </c>
      <c r="K129" s="10" t="s">
        <v>21</v>
      </c>
      <c r="L129" s="10" t="s">
        <v>21</v>
      </c>
      <c r="M129" s="11">
        <v>8</v>
      </c>
      <c r="N129" s="10" t="s">
        <v>21</v>
      </c>
      <c r="O129" s="10" t="s">
        <v>21</v>
      </c>
      <c r="P129" s="10" t="s">
        <v>21</v>
      </c>
      <c r="Q129" s="7">
        <f t="shared" si="6"/>
        <v>10</v>
      </c>
      <c r="R129" s="7">
        <f t="shared" si="7"/>
        <v>2</v>
      </c>
    </row>
    <row r="130" spans="1:18" x14ac:dyDescent="0.25">
      <c r="A130" s="2" t="s">
        <v>301</v>
      </c>
      <c r="B130" s="3" t="s">
        <v>302</v>
      </c>
      <c r="C130" s="18" t="s">
        <v>279</v>
      </c>
      <c r="D130" s="3" t="s">
        <v>303</v>
      </c>
      <c r="E130" s="5" t="s">
        <v>21</v>
      </c>
      <c r="F130" s="6">
        <v>6</v>
      </c>
      <c r="G130" s="6">
        <v>4</v>
      </c>
      <c r="H130" s="6">
        <v>9</v>
      </c>
      <c r="I130" s="5" t="s">
        <v>21</v>
      </c>
      <c r="J130" s="5" t="s">
        <v>21</v>
      </c>
      <c r="K130" s="5" t="s">
        <v>21</v>
      </c>
      <c r="L130" s="5" t="s">
        <v>21</v>
      </c>
      <c r="M130" s="5" t="s">
        <v>21</v>
      </c>
      <c r="N130" s="5" t="s">
        <v>21</v>
      </c>
      <c r="O130" s="5" t="s">
        <v>21</v>
      </c>
      <c r="P130" s="6">
        <v>1</v>
      </c>
      <c r="Q130" s="7">
        <f t="shared" ref="Q130:Q161" si="8">SUMIF(E130:P130,"&gt;0")</f>
        <v>20</v>
      </c>
      <c r="R130" s="7">
        <f t="shared" ref="R130:R161" si="9">COUNTIF(E130:P130,"&gt;0")</f>
        <v>4</v>
      </c>
    </row>
    <row r="131" spans="1:18" x14ac:dyDescent="0.25">
      <c r="A131" s="8" t="s">
        <v>301</v>
      </c>
      <c r="B131" s="9" t="s">
        <v>304</v>
      </c>
      <c r="C131" s="18" t="s">
        <v>279</v>
      </c>
      <c r="D131" s="9" t="s">
        <v>305</v>
      </c>
      <c r="E131" s="10" t="s">
        <v>21</v>
      </c>
      <c r="F131" s="10" t="s">
        <v>21</v>
      </c>
      <c r="G131" s="10" t="s">
        <v>21</v>
      </c>
      <c r="H131" s="10" t="s">
        <v>21</v>
      </c>
      <c r="I131" s="10" t="s">
        <v>21</v>
      </c>
      <c r="J131" s="10" t="s">
        <v>21</v>
      </c>
      <c r="K131" s="10" t="s">
        <v>21</v>
      </c>
      <c r="L131" s="10" t="s">
        <v>21</v>
      </c>
      <c r="M131" s="10" t="s">
        <v>21</v>
      </c>
      <c r="N131" s="11">
        <v>6</v>
      </c>
      <c r="O131" s="10" t="s">
        <v>21</v>
      </c>
      <c r="P131" s="10" t="s">
        <v>21</v>
      </c>
      <c r="Q131" s="7">
        <f t="shared" si="8"/>
        <v>6</v>
      </c>
      <c r="R131" s="7">
        <f t="shared" si="9"/>
        <v>1</v>
      </c>
    </row>
    <row r="132" spans="1:18" x14ac:dyDescent="0.25">
      <c r="A132" s="2" t="s">
        <v>306</v>
      </c>
      <c r="B132" s="3" t="s">
        <v>307</v>
      </c>
      <c r="C132" s="18" t="s">
        <v>279</v>
      </c>
      <c r="D132" s="3" t="s">
        <v>308</v>
      </c>
      <c r="E132" s="5" t="s">
        <v>21</v>
      </c>
      <c r="F132" s="5" t="s">
        <v>21</v>
      </c>
      <c r="G132" s="6">
        <v>1</v>
      </c>
      <c r="H132" s="5" t="s">
        <v>21</v>
      </c>
      <c r="I132" s="5" t="s">
        <v>21</v>
      </c>
      <c r="J132" s="5" t="s">
        <v>21</v>
      </c>
      <c r="K132" s="5" t="s">
        <v>21</v>
      </c>
      <c r="L132" s="5" t="s">
        <v>21</v>
      </c>
      <c r="M132" s="5" t="s">
        <v>21</v>
      </c>
      <c r="N132" s="5" t="s">
        <v>21</v>
      </c>
      <c r="O132" s="5" t="s">
        <v>21</v>
      </c>
      <c r="P132" s="5" t="s">
        <v>21</v>
      </c>
      <c r="Q132" s="7">
        <f t="shared" si="8"/>
        <v>1</v>
      </c>
      <c r="R132" s="7">
        <f t="shared" si="9"/>
        <v>1</v>
      </c>
    </row>
    <row r="133" spans="1:18" x14ac:dyDescent="0.25">
      <c r="A133" s="8" t="s">
        <v>309</v>
      </c>
      <c r="B133" s="9" t="s">
        <v>310</v>
      </c>
      <c r="C133" s="18" t="s">
        <v>279</v>
      </c>
      <c r="D133" s="9" t="s">
        <v>311</v>
      </c>
      <c r="E133" s="10" t="s">
        <v>21</v>
      </c>
      <c r="F133" s="11">
        <v>2</v>
      </c>
      <c r="G133" s="10" t="s">
        <v>21</v>
      </c>
      <c r="H133" s="10" t="s">
        <v>21</v>
      </c>
      <c r="I133" s="10" t="s">
        <v>21</v>
      </c>
      <c r="J133" s="10" t="s">
        <v>21</v>
      </c>
      <c r="K133" s="10" t="s">
        <v>21</v>
      </c>
      <c r="L133" s="10" t="s">
        <v>21</v>
      </c>
      <c r="M133" s="10" t="s">
        <v>21</v>
      </c>
      <c r="N133" s="10" t="s">
        <v>21</v>
      </c>
      <c r="O133" s="10" t="s">
        <v>21</v>
      </c>
      <c r="P133" s="10" t="s">
        <v>21</v>
      </c>
      <c r="Q133" s="7">
        <f t="shared" si="8"/>
        <v>2</v>
      </c>
      <c r="R133" s="7">
        <f t="shared" si="9"/>
        <v>1</v>
      </c>
    </row>
    <row r="134" spans="1:18" x14ac:dyDescent="0.25">
      <c r="A134" s="2" t="s">
        <v>312</v>
      </c>
      <c r="B134" s="3" t="s">
        <v>313</v>
      </c>
      <c r="C134" s="18" t="s">
        <v>279</v>
      </c>
      <c r="D134" s="3" t="s">
        <v>314</v>
      </c>
      <c r="E134" s="5" t="s">
        <v>21</v>
      </c>
      <c r="F134" s="5" t="s">
        <v>21</v>
      </c>
      <c r="G134" s="5" t="s">
        <v>21</v>
      </c>
      <c r="H134" s="5" t="s">
        <v>21</v>
      </c>
      <c r="I134" s="5" t="s">
        <v>21</v>
      </c>
      <c r="J134" s="5" t="s">
        <v>21</v>
      </c>
      <c r="K134" s="5" t="s">
        <v>21</v>
      </c>
      <c r="L134" s="5" t="s">
        <v>21</v>
      </c>
      <c r="M134" s="6">
        <v>1</v>
      </c>
      <c r="N134" s="5" t="s">
        <v>21</v>
      </c>
      <c r="O134" s="5" t="s">
        <v>21</v>
      </c>
      <c r="P134" s="5" t="s">
        <v>21</v>
      </c>
      <c r="Q134" s="7">
        <f t="shared" si="8"/>
        <v>1</v>
      </c>
      <c r="R134" s="7">
        <f t="shared" si="9"/>
        <v>1</v>
      </c>
    </row>
    <row r="135" spans="1:18" x14ac:dyDescent="0.25">
      <c r="A135" s="8" t="s">
        <v>315</v>
      </c>
      <c r="B135" s="9" t="s">
        <v>316</v>
      </c>
      <c r="C135" s="18" t="s">
        <v>279</v>
      </c>
      <c r="D135" s="9" t="s">
        <v>311</v>
      </c>
      <c r="E135" s="10" t="s">
        <v>21</v>
      </c>
      <c r="F135" s="10" t="s">
        <v>21</v>
      </c>
      <c r="G135" s="11">
        <v>1</v>
      </c>
      <c r="H135" s="10" t="s">
        <v>21</v>
      </c>
      <c r="I135" s="10" t="s">
        <v>21</v>
      </c>
      <c r="J135" s="10" t="s">
        <v>21</v>
      </c>
      <c r="K135" s="10" t="s">
        <v>21</v>
      </c>
      <c r="L135" s="10" t="s">
        <v>21</v>
      </c>
      <c r="M135" s="10" t="s">
        <v>21</v>
      </c>
      <c r="N135" s="10" t="s">
        <v>21</v>
      </c>
      <c r="O135" s="10" t="s">
        <v>21</v>
      </c>
      <c r="P135" s="10" t="s">
        <v>21</v>
      </c>
      <c r="Q135" s="7">
        <f t="shared" si="8"/>
        <v>1</v>
      </c>
      <c r="R135" s="7">
        <f t="shared" si="9"/>
        <v>1</v>
      </c>
    </row>
    <row r="136" spans="1:18" x14ac:dyDescent="0.25">
      <c r="A136" s="2" t="s">
        <v>317</v>
      </c>
      <c r="B136" s="3" t="s">
        <v>318</v>
      </c>
      <c r="C136" s="18" t="s">
        <v>279</v>
      </c>
      <c r="D136" s="3" t="s">
        <v>319</v>
      </c>
      <c r="E136" s="5" t="s">
        <v>21</v>
      </c>
      <c r="F136" s="6">
        <v>1</v>
      </c>
      <c r="G136" s="5" t="s">
        <v>21</v>
      </c>
      <c r="H136" s="5" t="s">
        <v>21</v>
      </c>
      <c r="I136" s="5" t="s">
        <v>21</v>
      </c>
      <c r="J136" s="5" t="s">
        <v>21</v>
      </c>
      <c r="K136" s="5" t="s">
        <v>21</v>
      </c>
      <c r="L136" s="5" t="s">
        <v>21</v>
      </c>
      <c r="M136" s="6">
        <v>23</v>
      </c>
      <c r="N136" s="5" t="s">
        <v>21</v>
      </c>
      <c r="O136" s="5" t="s">
        <v>21</v>
      </c>
      <c r="P136" s="6">
        <v>1</v>
      </c>
      <c r="Q136" s="7">
        <f t="shared" si="8"/>
        <v>25</v>
      </c>
      <c r="R136" s="7">
        <f t="shared" si="9"/>
        <v>3</v>
      </c>
    </row>
    <row r="137" spans="1:18" x14ac:dyDescent="0.25">
      <c r="A137" s="8" t="s">
        <v>320</v>
      </c>
      <c r="B137" s="9" t="s">
        <v>321</v>
      </c>
      <c r="C137" s="18" t="s">
        <v>279</v>
      </c>
      <c r="D137" s="9" t="s">
        <v>322</v>
      </c>
      <c r="E137" s="10" t="s">
        <v>21</v>
      </c>
      <c r="F137" s="10" t="s">
        <v>21</v>
      </c>
      <c r="G137" s="10" t="s">
        <v>21</v>
      </c>
      <c r="H137" s="10" t="s">
        <v>21</v>
      </c>
      <c r="I137" s="10" t="s">
        <v>21</v>
      </c>
      <c r="J137" s="10" t="s">
        <v>21</v>
      </c>
      <c r="K137" s="10" t="s">
        <v>21</v>
      </c>
      <c r="L137" s="10" t="s">
        <v>21</v>
      </c>
      <c r="M137" s="10" t="s">
        <v>21</v>
      </c>
      <c r="N137" s="11">
        <v>1</v>
      </c>
      <c r="O137" s="10" t="s">
        <v>21</v>
      </c>
      <c r="P137" s="10" t="s">
        <v>21</v>
      </c>
      <c r="Q137" s="7">
        <f t="shared" si="8"/>
        <v>1</v>
      </c>
      <c r="R137" s="7">
        <f t="shared" si="9"/>
        <v>1</v>
      </c>
    </row>
    <row r="138" spans="1:18" x14ac:dyDescent="0.25">
      <c r="A138" s="2" t="s">
        <v>323</v>
      </c>
      <c r="B138" s="3" t="s">
        <v>323</v>
      </c>
      <c r="C138" s="18" t="s">
        <v>279</v>
      </c>
      <c r="D138" s="3" t="s">
        <v>324</v>
      </c>
      <c r="E138" s="5" t="s">
        <v>21</v>
      </c>
      <c r="F138" s="5" t="s">
        <v>21</v>
      </c>
      <c r="G138" s="6">
        <v>1</v>
      </c>
      <c r="H138" s="5" t="s">
        <v>21</v>
      </c>
      <c r="I138" s="5" t="s">
        <v>21</v>
      </c>
      <c r="J138" s="5" t="s">
        <v>21</v>
      </c>
      <c r="K138" s="5" t="s">
        <v>21</v>
      </c>
      <c r="L138" s="5" t="s">
        <v>21</v>
      </c>
      <c r="M138" s="5" t="s">
        <v>21</v>
      </c>
      <c r="N138" s="5" t="s">
        <v>21</v>
      </c>
      <c r="O138" s="5" t="s">
        <v>21</v>
      </c>
      <c r="P138" s="5" t="s">
        <v>21</v>
      </c>
      <c r="Q138" s="7">
        <f t="shared" si="8"/>
        <v>1</v>
      </c>
      <c r="R138" s="7">
        <f t="shared" si="9"/>
        <v>1</v>
      </c>
    </row>
    <row r="139" spans="1:18" x14ac:dyDescent="0.25">
      <c r="A139" s="8" t="s">
        <v>325</v>
      </c>
      <c r="B139" s="9" t="s">
        <v>325</v>
      </c>
      <c r="C139" s="18" t="s">
        <v>279</v>
      </c>
      <c r="D139" s="9" t="s">
        <v>326</v>
      </c>
      <c r="E139" s="10" t="s">
        <v>21</v>
      </c>
      <c r="F139" s="10" t="s">
        <v>21</v>
      </c>
      <c r="G139" s="10" t="s">
        <v>21</v>
      </c>
      <c r="H139" s="10" t="s">
        <v>21</v>
      </c>
      <c r="I139" s="10" t="s">
        <v>21</v>
      </c>
      <c r="J139" s="10" t="s">
        <v>21</v>
      </c>
      <c r="K139" s="10" t="s">
        <v>21</v>
      </c>
      <c r="L139" s="10" t="s">
        <v>21</v>
      </c>
      <c r="M139" s="10" t="s">
        <v>21</v>
      </c>
      <c r="N139" s="11">
        <v>4</v>
      </c>
      <c r="O139" s="10" t="s">
        <v>21</v>
      </c>
      <c r="P139" s="10" t="s">
        <v>21</v>
      </c>
      <c r="Q139" s="7">
        <f t="shared" si="8"/>
        <v>4</v>
      </c>
      <c r="R139" s="7">
        <f t="shared" si="9"/>
        <v>1</v>
      </c>
    </row>
    <row r="140" spans="1:18" x14ac:dyDescent="0.25">
      <c r="A140" s="2" t="s">
        <v>327</v>
      </c>
      <c r="B140" s="3" t="s">
        <v>328</v>
      </c>
      <c r="C140" s="18" t="s">
        <v>279</v>
      </c>
      <c r="D140" s="3" t="s">
        <v>329</v>
      </c>
      <c r="E140" s="5" t="s">
        <v>21</v>
      </c>
      <c r="F140" s="6">
        <v>3</v>
      </c>
      <c r="G140" s="6">
        <v>2</v>
      </c>
      <c r="H140" s="6">
        <v>4</v>
      </c>
      <c r="I140" s="6">
        <v>2</v>
      </c>
      <c r="J140" s="5" t="s">
        <v>21</v>
      </c>
      <c r="K140" s="5" t="s">
        <v>21</v>
      </c>
      <c r="L140" s="5" t="s">
        <v>21</v>
      </c>
      <c r="M140" s="5" t="s">
        <v>21</v>
      </c>
      <c r="N140" s="5" t="s">
        <v>21</v>
      </c>
      <c r="O140" s="5" t="s">
        <v>21</v>
      </c>
      <c r="P140" s="5" t="s">
        <v>21</v>
      </c>
      <c r="Q140" s="7">
        <f t="shared" si="8"/>
        <v>11</v>
      </c>
      <c r="R140" s="7">
        <f t="shared" si="9"/>
        <v>4</v>
      </c>
    </row>
    <row r="141" spans="1:18" x14ac:dyDescent="0.25">
      <c r="A141" s="8" t="s">
        <v>327</v>
      </c>
      <c r="B141" s="9" t="s">
        <v>328</v>
      </c>
      <c r="C141" s="18" t="s">
        <v>279</v>
      </c>
      <c r="D141" s="9" t="s">
        <v>330</v>
      </c>
      <c r="E141" s="10" t="s">
        <v>21</v>
      </c>
      <c r="F141" s="10" t="s">
        <v>21</v>
      </c>
      <c r="G141" s="10" t="s">
        <v>21</v>
      </c>
      <c r="H141" s="10" t="s">
        <v>21</v>
      </c>
      <c r="I141" s="10" t="s">
        <v>21</v>
      </c>
      <c r="J141" s="10" t="s">
        <v>21</v>
      </c>
      <c r="K141" s="10" t="s">
        <v>21</v>
      </c>
      <c r="L141" s="10" t="s">
        <v>21</v>
      </c>
      <c r="M141" s="10" t="s">
        <v>21</v>
      </c>
      <c r="N141" s="11">
        <v>4</v>
      </c>
      <c r="O141" s="10" t="s">
        <v>21</v>
      </c>
      <c r="P141" s="10" t="s">
        <v>21</v>
      </c>
      <c r="Q141" s="7">
        <f t="shared" si="8"/>
        <v>4</v>
      </c>
      <c r="R141" s="7">
        <f t="shared" si="9"/>
        <v>1</v>
      </c>
    </row>
    <row r="142" spans="1:18" x14ac:dyDescent="0.25">
      <c r="A142" s="2" t="s">
        <v>331</v>
      </c>
      <c r="B142" s="3" t="s">
        <v>332</v>
      </c>
      <c r="C142" s="18" t="s">
        <v>279</v>
      </c>
      <c r="D142" s="3" t="s">
        <v>333</v>
      </c>
      <c r="E142" s="5" t="s">
        <v>21</v>
      </c>
      <c r="F142" s="5" t="s">
        <v>21</v>
      </c>
      <c r="G142" s="5" t="s">
        <v>21</v>
      </c>
      <c r="H142" s="5" t="s">
        <v>21</v>
      </c>
      <c r="I142" s="5" t="s">
        <v>21</v>
      </c>
      <c r="J142" s="5" t="s">
        <v>21</v>
      </c>
      <c r="K142" s="5" t="s">
        <v>21</v>
      </c>
      <c r="L142" s="5" t="s">
        <v>21</v>
      </c>
      <c r="M142" s="6">
        <v>22</v>
      </c>
      <c r="N142" s="5" t="s">
        <v>21</v>
      </c>
      <c r="O142" s="5" t="s">
        <v>21</v>
      </c>
      <c r="P142" s="5" t="s">
        <v>21</v>
      </c>
      <c r="Q142" s="7">
        <f t="shared" si="8"/>
        <v>22</v>
      </c>
      <c r="R142" s="7">
        <f t="shared" si="9"/>
        <v>1</v>
      </c>
    </row>
    <row r="143" spans="1:18" x14ac:dyDescent="0.25">
      <c r="A143" s="8" t="s">
        <v>334</v>
      </c>
      <c r="B143" s="9" t="s">
        <v>335</v>
      </c>
      <c r="C143" s="18" t="s">
        <v>279</v>
      </c>
      <c r="D143" s="9" t="s">
        <v>336</v>
      </c>
      <c r="E143" s="10" t="s">
        <v>21</v>
      </c>
      <c r="F143" s="10" t="s">
        <v>21</v>
      </c>
      <c r="G143" s="10" t="s">
        <v>21</v>
      </c>
      <c r="H143" s="10" t="s">
        <v>21</v>
      </c>
      <c r="I143" s="10" t="s">
        <v>21</v>
      </c>
      <c r="J143" s="10" t="s">
        <v>21</v>
      </c>
      <c r="K143" s="10" t="s">
        <v>21</v>
      </c>
      <c r="L143" s="10" t="s">
        <v>21</v>
      </c>
      <c r="M143" s="10" t="s">
        <v>21</v>
      </c>
      <c r="N143" s="11">
        <v>1</v>
      </c>
      <c r="O143" s="10" t="s">
        <v>21</v>
      </c>
      <c r="P143" s="10" t="s">
        <v>21</v>
      </c>
      <c r="Q143" s="7">
        <f t="shared" si="8"/>
        <v>1</v>
      </c>
      <c r="R143" s="7">
        <f t="shared" si="9"/>
        <v>1</v>
      </c>
    </row>
    <row r="144" spans="1:18" x14ac:dyDescent="0.25">
      <c r="A144" s="2" t="s">
        <v>337</v>
      </c>
      <c r="B144" s="3" t="s">
        <v>338</v>
      </c>
      <c r="C144" s="18" t="s">
        <v>279</v>
      </c>
      <c r="D144" s="3" t="s">
        <v>339</v>
      </c>
      <c r="E144" s="5" t="s">
        <v>21</v>
      </c>
      <c r="F144" s="6">
        <v>1</v>
      </c>
      <c r="G144" s="5" t="s">
        <v>21</v>
      </c>
      <c r="H144" s="5" t="s">
        <v>21</v>
      </c>
      <c r="I144" s="5" t="s">
        <v>21</v>
      </c>
      <c r="J144" s="5" t="s">
        <v>21</v>
      </c>
      <c r="K144" s="5" t="s">
        <v>21</v>
      </c>
      <c r="L144" s="5" t="s">
        <v>21</v>
      </c>
      <c r="M144" s="6">
        <v>1</v>
      </c>
      <c r="N144" s="5" t="s">
        <v>21</v>
      </c>
      <c r="O144" s="5" t="s">
        <v>21</v>
      </c>
      <c r="P144" s="6">
        <v>1</v>
      </c>
      <c r="Q144" s="7">
        <f t="shared" si="8"/>
        <v>3</v>
      </c>
      <c r="R144" s="7">
        <f t="shared" si="9"/>
        <v>3</v>
      </c>
    </row>
    <row r="145" spans="1:18" x14ac:dyDescent="0.25">
      <c r="A145" s="8" t="s">
        <v>340</v>
      </c>
      <c r="B145" s="9" t="s">
        <v>341</v>
      </c>
      <c r="C145" s="18" t="s">
        <v>279</v>
      </c>
      <c r="D145" s="9" t="s">
        <v>342</v>
      </c>
      <c r="E145" s="10" t="s">
        <v>21</v>
      </c>
      <c r="F145" s="10" t="s">
        <v>21</v>
      </c>
      <c r="G145" s="11">
        <v>1</v>
      </c>
      <c r="H145" s="10" t="s">
        <v>21</v>
      </c>
      <c r="I145" s="10" t="s">
        <v>21</v>
      </c>
      <c r="J145" s="10" t="s">
        <v>21</v>
      </c>
      <c r="K145" s="10" t="s">
        <v>21</v>
      </c>
      <c r="L145" s="10" t="s">
        <v>21</v>
      </c>
      <c r="M145" s="10" t="s">
        <v>21</v>
      </c>
      <c r="N145" s="10" t="s">
        <v>21</v>
      </c>
      <c r="O145" s="10" t="s">
        <v>21</v>
      </c>
      <c r="P145" s="10" t="s">
        <v>21</v>
      </c>
      <c r="Q145" s="7">
        <f t="shared" si="8"/>
        <v>1</v>
      </c>
      <c r="R145" s="7">
        <f t="shared" si="9"/>
        <v>1</v>
      </c>
    </row>
    <row r="146" spans="1:18" x14ac:dyDescent="0.25">
      <c r="A146" s="2" t="s">
        <v>343</v>
      </c>
      <c r="B146" s="3" t="s">
        <v>343</v>
      </c>
      <c r="C146" s="18" t="s">
        <v>279</v>
      </c>
      <c r="D146" s="3" t="s">
        <v>344</v>
      </c>
      <c r="E146" s="5" t="s">
        <v>21</v>
      </c>
      <c r="F146" s="5" t="s">
        <v>21</v>
      </c>
      <c r="G146" s="6">
        <v>4</v>
      </c>
      <c r="H146" s="5" t="s">
        <v>21</v>
      </c>
      <c r="I146" s="5" t="s">
        <v>21</v>
      </c>
      <c r="J146" s="5" t="s">
        <v>21</v>
      </c>
      <c r="K146" s="5" t="s">
        <v>21</v>
      </c>
      <c r="L146" s="5" t="s">
        <v>21</v>
      </c>
      <c r="M146" s="5" t="s">
        <v>21</v>
      </c>
      <c r="N146" s="5" t="s">
        <v>21</v>
      </c>
      <c r="O146" s="5" t="s">
        <v>21</v>
      </c>
      <c r="P146" s="5" t="s">
        <v>21</v>
      </c>
      <c r="Q146" s="7">
        <f t="shared" si="8"/>
        <v>4</v>
      </c>
      <c r="R146" s="7">
        <f t="shared" si="9"/>
        <v>1</v>
      </c>
    </row>
    <row r="147" spans="1:18" x14ac:dyDescent="0.25">
      <c r="A147" s="8" t="s">
        <v>345</v>
      </c>
      <c r="B147" s="9" t="s">
        <v>346</v>
      </c>
      <c r="C147" s="18" t="s">
        <v>279</v>
      </c>
      <c r="D147" s="9" t="s">
        <v>347</v>
      </c>
      <c r="E147" s="10" t="s">
        <v>21</v>
      </c>
      <c r="F147" s="10" t="s">
        <v>21</v>
      </c>
      <c r="G147" s="11">
        <v>2</v>
      </c>
      <c r="H147" s="11">
        <v>2</v>
      </c>
      <c r="I147" s="10" t="s">
        <v>21</v>
      </c>
      <c r="J147" s="10" t="s">
        <v>21</v>
      </c>
      <c r="K147" s="10" t="s">
        <v>21</v>
      </c>
      <c r="L147" s="10" t="s">
        <v>21</v>
      </c>
      <c r="M147" s="10" t="s">
        <v>21</v>
      </c>
      <c r="N147" s="10" t="s">
        <v>21</v>
      </c>
      <c r="O147" s="10" t="s">
        <v>21</v>
      </c>
      <c r="P147" s="11">
        <v>10</v>
      </c>
      <c r="Q147" s="7">
        <f t="shared" si="8"/>
        <v>14</v>
      </c>
      <c r="R147" s="7">
        <f t="shared" si="9"/>
        <v>3</v>
      </c>
    </row>
    <row r="148" spans="1:18" x14ac:dyDescent="0.25">
      <c r="A148" s="2" t="s">
        <v>348</v>
      </c>
      <c r="B148" s="3" t="s">
        <v>349</v>
      </c>
      <c r="C148" s="18" t="s">
        <v>279</v>
      </c>
      <c r="D148" s="3" t="s">
        <v>350</v>
      </c>
      <c r="E148" s="5" t="s">
        <v>21</v>
      </c>
      <c r="F148" s="5" t="s">
        <v>21</v>
      </c>
      <c r="G148" s="5" t="s">
        <v>21</v>
      </c>
      <c r="H148" s="5" t="s">
        <v>21</v>
      </c>
      <c r="I148" s="5" t="s">
        <v>21</v>
      </c>
      <c r="J148" s="5" t="s">
        <v>21</v>
      </c>
      <c r="K148" s="5" t="s">
        <v>21</v>
      </c>
      <c r="L148" s="5" t="s">
        <v>21</v>
      </c>
      <c r="M148" s="5" t="s">
        <v>21</v>
      </c>
      <c r="N148" s="5" t="s">
        <v>21</v>
      </c>
      <c r="O148" s="5" t="s">
        <v>21</v>
      </c>
      <c r="P148" s="6">
        <v>8</v>
      </c>
      <c r="Q148" s="7">
        <f t="shared" si="8"/>
        <v>8</v>
      </c>
      <c r="R148" s="7">
        <f t="shared" si="9"/>
        <v>1</v>
      </c>
    </row>
    <row r="149" spans="1:18" x14ac:dyDescent="0.25">
      <c r="A149" s="8" t="s">
        <v>351</v>
      </c>
      <c r="B149" s="9" t="s">
        <v>351</v>
      </c>
      <c r="C149" s="18" t="s">
        <v>279</v>
      </c>
      <c r="D149" s="9" t="s">
        <v>352</v>
      </c>
      <c r="E149" s="10" t="s">
        <v>21</v>
      </c>
      <c r="F149" s="10" t="s">
        <v>21</v>
      </c>
      <c r="G149" s="10" t="s">
        <v>21</v>
      </c>
      <c r="H149" s="10" t="s">
        <v>21</v>
      </c>
      <c r="I149" s="10" t="s">
        <v>21</v>
      </c>
      <c r="J149" s="10" t="s">
        <v>21</v>
      </c>
      <c r="K149" s="10" t="s">
        <v>21</v>
      </c>
      <c r="L149" s="10" t="s">
        <v>21</v>
      </c>
      <c r="M149" s="10" t="s">
        <v>21</v>
      </c>
      <c r="N149" s="11">
        <v>1</v>
      </c>
      <c r="O149" s="10" t="s">
        <v>21</v>
      </c>
      <c r="P149" s="10" t="s">
        <v>21</v>
      </c>
      <c r="Q149" s="7">
        <f t="shared" si="8"/>
        <v>1</v>
      </c>
      <c r="R149" s="7">
        <f t="shared" si="9"/>
        <v>1</v>
      </c>
    </row>
    <row r="150" spans="1:18" x14ac:dyDescent="0.25">
      <c r="A150" s="2" t="s">
        <v>353</v>
      </c>
      <c r="B150" s="3" t="s">
        <v>353</v>
      </c>
      <c r="C150" s="18" t="s">
        <v>279</v>
      </c>
      <c r="D150" s="3" t="s">
        <v>354</v>
      </c>
      <c r="E150" s="5" t="s">
        <v>21</v>
      </c>
      <c r="F150" s="5" t="s">
        <v>21</v>
      </c>
      <c r="G150" s="5" t="s">
        <v>21</v>
      </c>
      <c r="H150" s="5" t="s">
        <v>21</v>
      </c>
      <c r="I150" s="5" t="s">
        <v>21</v>
      </c>
      <c r="J150" s="5" t="s">
        <v>21</v>
      </c>
      <c r="K150" s="5" t="s">
        <v>21</v>
      </c>
      <c r="L150" s="5" t="s">
        <v>21</v>
      </c>
      <c r="M150" s="5" t="s">
        <v>21</v>
      </c>
      <c r="N150" s="6">
        <v>2</v>
      </c>
      <c r="O150" s="5" t="s">
        <v>21</v>
      </c>
      <c r="P150" s="5" t="s">
        <v>21</v>
      </c>
      <c r="Q150" s="7">
        <f t="shared" si="8"/>
        <v>2</v>
      </c>
      <c r="R150" s="7">
        <f t="shared" si="9"/>
        <v>1</v>
      </c>
    </row>
    <row r="151" spans="1:18" x14ac:dyDescent="0.25">
      <c r="A151" s="8" t="s">
        <v>310</v>
      </c>
      <c r="B151" s="9" t="s">
        <v>355</v>
      </c>
      <c r="C151" s="18" t="s">
        <v>279</v>
      </c>
      <c r="D151" s="9" t="s">
        <v>356</v>
      </c>
      <c r="E151" s="10" t="s">
        <v>21</v>
      </c>
      <c r="F151" s="11">
        <v>1</v>
      </c>
      <c r="G151" s="10" t="s">
        <v>21</v>
      </c>
      <c r="H151" s="10" t="s">
        <v>21</v>
      </c>
      <c r="I151" s="10" t="s">
        <v>21</v>
      </c>
      <c r="J151" s="10" t="s">
        <v>21</v>
      </c>
      <c r="K151" s="10" t="s">
        <v>21</v>
      </c>
      <c r="L151" s="10" t="s">
        <v>21</v>
      </c>
      <c r="M151" s="11">
        <v>1</v>
      </c>
      <c r="N151" s="10" t="s">
        <v>21</v>
      </c>
      <c r="O151" s="10" t="s">
        <v>21</v>
      </c>
      <c r="P151" s="11">
        <v>1</v>
      </c>
      <c r="Q151" s="7">
        <f t="shared" si="8"/>
        <v>3</v>
      </c>
      <c r="R151" s="7">
        <f t="shared" si="9"/>
        <v>3</v>
      </c>
    </row>
    <row r="152" spans="1:18" x14ac:dyDescent="0.25">
      <c r="A152" s="2" t="s">
        <v>357</v>
      </c>
      <c r="B152" s="3" t="s">
        <v>358</v>
      </c>
      <c r="C152" s="18" t="s">
        <v>279</v>
      </c>
      <c r="D152" s="3" t="s">
        <v>359</v>
      </c>
      <c r="E152" s="5" t="s">
        <v>21</v>
      </c>
      <c r="F152" s="5" t="s">
        <v>21</v>
      </c>
      <c r="G152" s="5" t="s">
        <v>21</v>
      </c>
      <c r="H152" s="5" t="s">
        <v>21</v>
      </c>
      <c r="I152" s="5" t="s">
        <v>21</v>
      </c>
      <c r="J152" s="5" t="s">
        <v>21</v>
      </c>
      <c r="K152" s="5" t="s">
        <v>21</v>
      </c>
      <c r="L152" s="5" t="s">
        <v>21</v>
      </c>
      <c r="M152" s="5" t="s">
        <v>21</v>
      </c>
      <c r="N152" s="6">
        <v>1</v>
      </c>
      <c r="O152" s="5" t="s">
        <v>21</v>
      </c>
      <c r="P152" s="5" t="s">
        <v>21</v>
      </c>
      <c r="Q152" s="7">
        <f t="shared" si="8"/>
        <v>1</v>
      </c>
      <c r="R152" s="7">
        <f t="shared" si="9"/>
        <v>1</v>
      </c>
    </row>
    <row r="153" spans="1:18" x14ac:dyDescent="0.25">
      <c r="A153" s="8" t="s">
        <v>360</v>
      </c>
      <c r="B153" s="9" t="s">
        <v>361</v>
      </c>
      <c r="C153" s="18" t="s">
        <v>279</v>
      </c>
      <c r="D153" s="9" t="s">
        <v>362</v>
      </c>
      <c r="E153" s="10" t="s">
        <v>21</v>
      </c>
      <c r="F153" s="11">
        <v>1</v>
      </c>
      <c r="G153" s="10" t="s">
        <v>21</v>
      </c>
      <c r="H153" s="10" t="s">
        <v>21</v>
      </c>
      <c r="I153" s="10" t="s">
        <v>21</v>
      </c>
      <c r="J153" s="10" t="s">
        <v>21</v>
      </c>
      <c r="K153" s="10" t="s">
        <v>21</v>
      </c>
      <c r="L153" s="10" t="s">
        <v>21</v>
      </c>
      <c r="M153" s="11">
        <v>1</v>
      </c>
      <c r="N153" s="10" t="s">
        <v>21</v>
      </c>
      <c r="O153" s="10" t="s">
        <v>21</v>
      </c>
      <c r="P153" s="11">
        <v>1</v>
      </c>
      <c r="Q153" s="7">
        <f t="shared" si="8"/>
        <v>3</v>
      </c>
      <c r="R153" s="7">
        <f t="shared" si="9"/>
        <v>3</v>
      </c>
    </row>
    <row r="154" spans="1:18" x14ac:dyDescent="0.25">
      <c r="A154" s="2" t="s">
        <v>363</v>
      </c>
      <c r="B154" s="3" t="s">
        <v>364</v>
      </c>
      <c r="C154" s="18" t="s">
        <v>279</v>
      </c>
      <c r="D154" s="3" t="s">
        <v>365</v>
      </c>
      <c r="E154" s="5" t="s">
        <v>21</v>
      </c>
      <c r="F154" s="5" t="s">
        <v>21</v>
      </c>
      <c r="G154" s="5" t="s">
        <v>21</v>
      </c>
      <c r="H154" s="5" t="s">
        <v>21</v>
      </c>
      <c r="I154" s="5" t="s">
        <v>21</v>
      </c>
      <c r="J154" s="5" t="s">
        <v>21</v>
      </c>
      <c r="K154" s="5" t="s">
        <v>21</v>
      </c>
      <c r="L154" s="5" t="s">
        <v>21</v>
      </c>
      <c r="M154" s="5" t="s">
        <v>21</v>
      </c>
      <c r="N154" s="6">
        <v>2</v>
      </c>
      <c r="O154" s="5" t="s">
        <v>21</v>
      </c>
      <c r="P154" s="5" t="s">
        <v>21</v>
      </c>
      <c r="Q154" s="7">
        <f t="shared" si="8"/>
        <v>2</v>
      </c>
      <c r="R154" s="7">
        <f t="shared" si="9"/>
        <v>1</v>
      </c>
    </row>
    <row r="155" spans="1:18" x14ac:dyDescent="0.25">
      <c r="A155" s="8" t="s">
        <v>366</v>
      </c>
      <c r="B155" s="9" t="s">
        <v>367</v>
      </c>
      <c r="C155" s="18" t="s">
        <v>279</v>
      </c>
      <c r="D155" s="9" t="s">
        <v>368</v>
      </c>
      <c r="E155" s="10" t="s">
        <v>21</v>
      </c>
      <c r="F155" s="11">
        <v>3</v>
      </c>
      <c r="G155" s="11">
        <v>5</v>
      </c>
      <c r="H155" s="10" t="s">
        <v>21</v>
      </c>
      <c r="I155" s="10" t="s">
        <v>21</v>
      </c>
      <c r="J155" s="10" t="s">
        <v>21</v>
      </c>
      <c r="K155" s="10" t="s">
        <v>21</v>
      </c>
      <c r="L155" s="11">
        <v>1</v>
      </c>
      <c r="M155" s="11">
        <v>2</v>
      </c>
      <c r="N155" s="10" t="s">
        <v>21</v>
      </c>
      <c r="O155" s="10" t="s">
        <v>21</v>
      </c>
      <c r="P155" s="11">
        <v>4</v>
      </c>
      <c r="Q155" s="7">
        <f t="shared" si="8"/>
        <v>15</v>
      </c>
      <c r="R155" s="7">
        <f t="shared" si="9"/>
        <v>5</v>
      </c>
    </row>
    <row r="156" spans="1:18" x14ac:dyDescent="0.25">
      <c r="A156" s="2" t="s">
        <v>369</v>
      </c>
      <c r="B156" s="3" t="s">
        <v>370</v>
      </c>
      <c r="C156" s="18" t="s">
        <v>279</v>
      </c>
      <c r="D156" s="3" t="s">
        <v>371</v>
      </c>
      <c r="E156" s="5" t="s">
        <v>21</v>
      </c>
      <c r="F156" s="5" t="s">
        <v>21</v>
      </c>
      <c r="G156" s="5" t="s">
        <v>21</v>
      </c>
      <c r="H156" s="5" t="s">
        <v>21</v>
      </c>
      <c r="I156" s="6">
        <v>28</v>
      </c>
      <c r="J156" s="5" t="s">
        <v>21</v>
      </c>
      <c r="K156" s="5" t="s">
        <v>21</v>
      </c>
      <c r="L156" s="5" t="s">
        <v>21</v>
      </c>
      <c r="M156" s="5" t="s">
        <v>21</v>
      </c>
      <c r="N156" s="5" t="s">
        <v>21</v>
      </c>
      <c r="O156" s="5" t="s">
        <v>21</v>
      </c>
      <c r="P156" s="5" t="s">
        <v>21</v>
      </c>
      <c r="Q156" s="7">
        <f t="shared" si="8"/>
        <v>28</v>
      </c>
      <c r="R156" s="7">
        <f t="shared" si="9"/>
        <v>1</v>
      </c>
    </row>
    <row r="157" spans="1:18" x14ac:dyDescent="0.25">
      <c r="A157" s="8" t="s">
        <v>372</v>
      </c>
      <c r="B157" s="9" t="s">
        <v>372</v>
      </c>
      <c r="C157" s="18" t="s">
        <v>279</v>
      </c>
      <c r="D157" s="9" t="s">
        <v>373</v>
      </c>
      <c r="E157" s="10" t="s">
        <v>21</v>
      </c>
      <c r="F157" s="10" t="s">
        <v>21</v>
      </c>
      <c r="G157" s="11">
        <v>1</v>
      </c>
      <c r="H157" s="10" t="s">
        <v>21</v>
      </c>
      <c r="I157" s="10" t="s">
        <v>21</v>
      </c>
      <c r="J157" s="10" t="s">
        <v>21</v>
      </c>
      <c r="K157" s="10" t="s">
        <v>21</v>
      </c>
      <c r="L157" s="10" t="s">
        <v>21</v>
      </c>
      <c r="M157" s="10" t="s">
        <v>21</v>
      </c>
      <c r="N157" s="10" t="s">
        <v>21</v>
      </c>
      <c r="O157" s="10" t="s">
        <v>21</v>
      </c>
      <c r="P157" s="11">
        <v>1</v>
      </c>
      <c r="Q157" s="7">
        <f t="shared" si="8"/>
        <v>2</v>
      </c>
      <c r="R157" s="7">
        <f t="shared" si="9"/>
        <v>2</v>
      </c>
    </row>
    <row r="158" spans="1:18" x14ac:dyDescent="0.25">
      <c r="A158" s="2" t="s">
        <v>374</v>
      </c>
      <c r="B158" s="3" t="s">
        <v>375</v>
      </c>
      <c r="C158" s="18" t="s">
        <v>279</v>
      </c>
      <c r="D158" s="3" t="s">
        <v>376</v>
      </c>
      <c r="E158" s="5" t="s">
        <v>21</v>
      </c>
      <c r="F158" s="6">
        <v>2</v>
      </c>
      <c r="G158" s="5" t="s">
        <v>21</v>
      </c>
      <c r="H158" s="5" t="s">
        <v>21</v>
      </c>
      <c r="I158" s="5" t="s">
        <v>21</v>
      </c>
      <c r="J158" s="5" t="s">
        <v>21</v>
      </c>
      <c r="K158" s="5" t="s">
        <v>21</v>
      </c>
      <c r="L158" s="5" t="s">
        <v>21</v>
      </c>
      <c r="M158" s="6">
        <v>14</v>
      </c>
      <c r="N158" s="5" t="s">
        <v>21</v>
      </c>
      <c r="O158" s="5" t="s">
        <v>21</v>
      </c>
      <c r="P158" s="5" t="s">
        <v>21</v>
      </c>
      <c r="Q158" s="7">
        <f t="shared" si="8"/>
        <v>16</v>
      </c>
      <c r="R158" s="7">
        <f t="shared" si="9"/>
        <v>2</v>
      </c>
    </row>
    <row r="159" spans="1:18" x14ac:dyDescent="0.25">
      <c r="A159" s="8" t="s">
        <v>377</v>
      </c>
      <c r="B159" s="9" t="s">
        <v>378</v>
      </c>
      <c r="C159" s="18" t="s">
        <v>279</v>
      </c>
      <c r="D159" s="9" t="s">
        <v>379</v>
      </c>
      <c r="E159" s="10" t="s">
        <v>21</v>
      </c>
      <c r="F159" s="11">
        <v>5</v>
      </c>
      <c r="G159" s="11">
        <v>15</v>
      </c>
      <c r="H159" s="11">
        <v>11</v>
      </c>
      <c r="I159" s="10" t="s">
        <v>21</v>
      </c>
      <c r="J159" s="10" t="s">
        <v>21</v>
      </c>
      <c r="K159" s="10" t="s">
        <v>21</v>
      </c>
      <c r="L159" s="10" t="s">
        <v>21</v>
      </c>
      <c r="M159" s="11">
        <v>1</v>
      </c>
      <c r="N159" s="10" t="s">
        <v>21</v>
      </c>
      <c r="O159" s="10" t="s">
        <v>21</v>
      </c>
      <c r="P159" s="11">
        <v>1</v>
      </c>
      <c r="Q159" s="7">
        <f t="shared" si="8"/>
        <v>33</v>
      </c>
      <c r="R159" s="7">
        <f t="shared" si="9"/>
        <v>5</v>
      </c>
    </row>
    <row r="160" spans="1:18" x14ac:dyDescent="0.25">
      <c r="A160" s="2" t="s">
        <v>380</v>
      </c>
      <c r="B160" s="3" t="s">
        <v>380</v>
      </c>
      <c r="C160" s="18" t="s">
        <v>279</v>
      </c>
      <c r="D160" s="3" t="s">
        <v>381</v>
      </c>
      <c r="E160" s="5" t="s">
        <v>21</v>
      </c>
      <c r="F160" s="6">
        <v>1</v>
      </c>
      <c r="G160" s="5" t="s">
        <v>21</v>
      </c>
      <c r="H160" s="5" t="s">
        <v>21</v>
      </c>
      <c r="I160" s="5" t="s">
        <v>21</v>
      </c>
      <c r="J160" s="5" t="s">
        <v>21</v>
      </c>
      <c r="K160" s="5" t="s">
        <v>21</v>
      </c>
      <c r="L160" s="5" t="s">
        <v>21</v>
      </c>
      <c r="M160" s="5" t="s">
        <v>21</v>
      </c>
      <c r="N160" s="5" t="s">
        <v>21</v>
      </c>
      <c r="O160" s="5" t="s">
        <v>21</v>
      </c>
      <c r="P160" s="5" t="s">
        <v>21</v>
      </c>
      <c r="Q160" s="7">
        <f t="shared" si="8"/>
        <v>1</v>
      </c>
      <c r="R160" s="7">
        <f t="shared" si="9"/>
        <v>1</v>
      </c>
    </row>
    <row r="161" spans="1:18" x14ac:dyDescent="0.25">
      <c r="A161" s="8" t="s">
        <v>382</v>
      </c>
      <c r="B161" s="9" t="s">
        <v>383</v>
      </c>
      <c r="C161" s="18" t="s">
        <v>279</v>
      </c>
      <c r="D161" s="9" t="s">
        <v>382</v>
      </c>
      <c r="E161" s="10" t="s">
        <v>21</v>
      </c>
      <c r="F161" s="10" t="s">
        <v>21</v>
      </c>
      <c r="G161" s="11">
        <v>1</v>
      </c>
      <c r="H161" s="10" t="s">
        <v>21</v>
      </c>
      <c r="I161" s="10" t="s">
        <v>21</v>
      </c>
      <c r="J161" s="10" t="s">
        <v>21</v>
      </c>
      <c r="K161" s="10" t="s">
        <v>21</v>
      </c>
      <c r="L161" s="10" t="s">
        <v>21</v>
      </c>
      <c r="M161" s="10" t="s">
        <v>21</v>
      </c>
      <c r="N161" s="10" t="s">
        <v>21</v>
      </c>
      <c r="O161" s="10" t="s">
        <v>21</v>
      </c>
      <c r="P161" s="10" t="s">
        <v>21</v>
      </c>
      <c r="Q161" s="7">
        <f t="shared" si="8"/>
        <v>1</v>
      </c>
      <c r="R161" s="7">
        <f t="shared" si="9"/>
        <v>1</v>
      </c>
    </row>
    <row r="162" spans="1:18" x14ac:dyDescent="0.25">
      <c r="A162" s="2" t="s">
        <v>384</v>
      </c>
      <c r="B162" s="3" t="s">
        <v>384</v>
      </c>
      <c r="C162" s="18" t="s">
        <v>279</v>
      </c>
      <c r="D162" s="3" t="s">
        <v>385</v>
      </c>
      <c r="E162" s="5" t="s">
        <v>21</v>
      </c>
      <c r="F162" s="6">
        <v>1</v>
      </c>
      <c r="G162" s="5" t="s">
        <v>21</v>
      </c>
      <c r="H162" s="5" t="s">
        <v>21</v>
      </c>
      <c r="I162" s="5" t="s">
        <v>21</v>
      </c>
      <c r="J162" s="5" t="s">
        <v>21</v>
      </c>
      <c r="K162" s="5" t="s">
        <v>21</v>
      </c>
      <c r="L162" s="5" t="s">
        <v>21</v>
      </c>
      <c r="M162" s="5" t="s">
        <v>21</v>
      </c>
      <c r="N162" s="5" t="s">
        <v>21</v>
      </c>
      <c r="O162" s="5" t="s">
        <v>21</v>
      </c>
      <c r="P162" s="5" t="s">
        <v>21</v>
      </c>
      <c r="Q162" s="7">
        <f t="shared" ref="Q162:Q193" si="10">SUMIF(E162:P162,"&gt;0")</f>
        <v>1</v>
      </c>
      <c r="R162" s="7">
        <f t="shared" ref="R162:R197" si="11">COUNTIF(E162:P162,"&gt;0")</f>
        <v>1</v>
      </c>
    </row>
    <row r="163" spans="1:18" x14ac:dyDescent="0.25">
      <c r="A163" s="8" t="s">
        <v>386</v>
      </c>
      <c r="B163" s="9" t="s">
        <v>387</v>
      </c>
      <c r="C163" s="18" t="s">
        <v>279</v>
      </c>
      <c r="D163" s="9" t="s">
        <v>388</v>
      </c>
      <c r="E163" s="10" t="s">
        <v>21</v>
      </c>
      <c r="F163" s="11">
        <v>1</v>
      </c>
      <c r="G163" s="10" t="s">
        <v>21</v>
      </c>
      <c r="H163" s="10" t="s">
        <v>21</v>
      </c>
      <c r="I163" s="10" t="s">
        <v>21</v>
      </c>
      <c r="J163" s="10" t="s">
        <v>21</v>
      </c>
      <c r="K163" s="10" t="s">
        <v>21</v>
      </c>
      <c r="L163" s="10" t="s">
        <v>21</v>
      </c>
      <c r="M163" s="11">
        <v>1</v>
      </c>
      <c r="N163" s="10" t="s">
        <v>21</v>
      </c>
      <c r="O163" s="10" t="s">
        <v>21</v>
      </c>
      <c r="P163" s="11">
        <v>1</v>
      </c>
      <c r="Q163" s="7">
        <f t="shared" si="10"/>
        <v>3</v>
      </c>
      <c r="R163" s="7">
        <f t="shared" si="11"/>
        <v>3</v>
      </c>
    </row>
    <row r="164" spans="1:18" x14ac:dyDescent="0.25">
      <c r="A164" s="2" t="s">
        <v>389</v>
      </c>
      <c r="B164" s="3" t="s">
        <v>390</v>
      </c>
      <c r="C164" s="18" t="s">
        <v>279</v>
      </c>
      <c r="D164" s="3" t="s">
        <v>391</v>
      </c>
      <c r="E164" s="5" t="s">
        <v>21</v>
      </c>
      <c r="F164" s="6">
        <v>2</v>
      </c>
      <c r="G164" s="6">
        <v>11</v>
      </c>
      <c r="H164" s="6">
        <v>4</v>
      </c>
      <c r="I164" s="5" t="s">
        <v>21</v>
      </c>
      <c r="J164" s="5" t="s">
        <v>21</v>
      </c>
      <c r="K164" s="5" t="s">
        <v>21</v>
      </c>
      <c r="L164" s="5" t="s">
        <v>21</v>
      </c>
      <c r="M164" s="6">
        <v>8</v>
      </c>
      <c r="N164" s="5" t="s">
        <v>21</v>
      </c>
      <c r="O164" s="5" t="s">
        <v>21</v>
      </c>
      <c r="P164" s="5" t="s">
        <v>21</v>
      </c>
      <c r="Q164" s="7">
        <f t="shared" si="10"/>
        <v>25</v>
      </c>
      <c r="R164" s="7">
        <f t="shared" si="11"/>
        <v>4</v>
      </c>
    </row>
    <row r="165" spans="1:18" x14ac:dyDescent="0.25">
      <c r="A165" s="8" t="s">
        <v>392</v>
      </c>
      <c r="B165" s="9" t="s">
        <v>393</v>
      </c>
      <c r="C165" s="18" t="s">
        <v>279</v>
      </c>
      <c r="D165" s="9" t="s">
        <v>394</v>
      </c>
      <c r="E165" s="10" t="s">
        <v>21</v>
      </c>
      <c r="F165" s="10" t="s">
        <v>21</v>
      </c>
      <c r="G165" s="10" t="s">
        <v>21</v>
      </c>
      <c r="H165" s="10" t="s">
        <v>21</v>
      </c>
      <c r="I165" s="10" t="s">
        <v>21</v>
      </c>
      <c r="J165" s="10" t="s">
        <v>21</v>
      </c>
      <c r="K165" s="10" t="s">
        <v>21</v>
      </c>
      <c r="L165" s="10" t="s">
        <v>21</v>
      </c>
      <c r="M165" s="11">
        <v>22</v>
      </c>
      <c r="N165" s="10" t="s">
        <v>21</v>
      </c>
      <c r="O165" s="10" t="s">
        <v>21</v>
      </c>
      <c r="P165" s="10" t="s">
        <v>21</v>
      </c>
      <c r="Q165" s="7">
        <f t="shared" si="10"/>
        <v>22</v>
      </c>
      <c r="R165" s="7">
        <f t="shared" si="11"/>
        <v>1</v>
      </c>
    </row>
    <row r="166" spans="1:18" x14ac:dyDescent="0.25">
      <c r="A166" s="2" t="s">
        <v>395</v>
      </c>
      <c r="B166" s="3" t="s">
        <v>396</v>
      </c>
      <c r="C166" s="18" t="s">
        <v>279</v>
      </c>
      <c r="D166" s="3" t="s">
        <v>397</v>
      </c>
      <c r="E166" s="5" t="s">
        <v>21</v>
      </c>
      <c r="F166" s="5" t="s">
        <v>21</v>
      </c>
      <c r="G166" s="5" t="s">
        <v>21</v>
      </c>
      <c r="H166" s="6">
        <v>4</v>
      </c>
      <c r="I166" s="6">
        <v>14</v>
      </c>
      <c r="J166" s="5" t="s">
        <v>21</v>
      </c>
      <c r="K166" s="5" t="s">
        <v>21</v>
      </c>
      <c r="L166" s="5" t="s">
        <v>21</v>
      </c>
      <c r="M166" s="5" t="s">
        <v>21</v>
      </c>
      <c r="N166" s="5" t="s">
        <v>21</v>
      </c>
      <c r="O166" s="5" t="s">
        <v>21</v>
      </c>
      <c r="P166" s="5" t="s">
        <v>21</v>
      </c>
      <c r="Q166" s="7">
        <f t="shared" si="10"/>
        <v>18</v>
      </c>
      <c r="R166" s="7">
        <f t="shared" si="11"/>
        <v>2</v>
      </c>
    </row>
    <row r="167" spans="1:18" x14ac:dyDescent="0.25">
      <c r="A167" s="8" t="s">
        <v>398</v>
      </c>
      <c r="B167" s="9" t="s">
        <v>399</v>
      </c>
      <c r="C167" s="18" t="s">
        <v>279</v>
      </c>
      <c r="D167" s="9" t="s">
        <v>400</v>
      </c>
      <c r="E167" s="10" t="s">
        <v>21</v>
      </c>
      <c r="F167" s="10" t="s">
        <v>21</v>
      </c>
      <c r="G167" s="10" t="s">
        <v>21</v>
      </c>
      <c r="H167" s="11">
        <v>1</v>
      </c>
      <c r="I167" s="10" t="s">
        <v>21</v>
      </c>
      <c r="J167" s="10" t="s">
        <v>21</v>
      </c>
      <c r="K167" s="10" t="s">
        <v>21</v>
      </c>
      <c r="L167" s="10" t="s">
        <v>21</v>
      </c>
      <c r="M167" s="10" t="s">
        <v>21</v>
      </c>
      <c r="N167" s="10" t="s">
        <v>21</v>
      </c>
      <c r="O167" s="10" t="s">
        <v>21</v>
      </c>
      <c r="P167" s="10" t="s">
        <v>21</v>
      </c>
      <c r="Q167" s="7">
        <f t="shared" si="10"/>
        <v>1</v>
      </c>
      <c r="R167" s="7">
        <f t="shared" si="11"/>
        <v>1</v>
      </c>
    </row>
    <row r="168" spans="1:18" x14ac:dyDescent="0.25">
      <c r="A168" s="2" t="s">
        <v>401</v>
      </c>
      <c r="B168" s="3" t="s">
        <v>401</v>
      </c>
      <c r="C168" s="18" t="s">
        <v>279</v>
      </c>
      <c r="D168" s="3" t="s">
        <v>402</v>
      </c>
      <c r="E168" s="5" t="s">
        <v>21</v>
      </c>
      <c r="F168" s="5" t="s">
        <v>21</v>
      </c>
      <c r="G168" s="5" t="s">
        <v>21</v>
      </c>
      <c r="H168" s="5" t="s">
        <v>21</v>
      </c>
      <c r="I168" s="6">
        <v>14</v>
      </c>
      <c r="J168" s="5" t="s">
        <v>21</v>
      </c>
      <c r="K168" s="5" t="s">
        <v>21</v>
      </c>
      <c r="L168" s="5" t="s">
        <v>21</v>
      </c>
      <c r="M168" s="5" t="s">
        <v>21</v>
      </c>
      <c r="N168" s="5" t="s">
        <v>21</v>
      </c>
      <c r="O168" s="5" t="s">
        <v>21</v>
      </c>
      <c r="P168" s="5" t="s">
        <v>21</v>
      </c>
      <c r="Q168" s="7">
        <f t="shared" si="10"/>
        <v>14</v>
      </c>
      <c r="R168" s="7">
        <f t="shared" si="11"/>
        <v>1</v>
      </c>
    </row>
    <row r="169" spans="1:18" x14ac:dyDescent="0.25">
      <c r="A169" s="8" t="s">
        <v>403</v>
      </c>
      <c r="B169" s="9" t="s">
        <v>403</v>
      </c>
      <c r="C169" s="18" t="s">
        <v>279</v>
      </c>
      <c r="D169" s="9" t="s">
        <v>404</v>
      </c>
      <c r="E169" s="10" t="s">
        <v>21</v>
      </c>
      <c r="F169" s="10" t="s">
        <v>21</v>
      </c>
      <c r="G169" s="10" t="s">
        <v>21</v>
      </c>
      <c r="H169" s="10" t="s">
        <v>21</v>
      </c>
      <c r="I169" s="11">
        <v>2</v>
      </c>
      <c r="J169" s="10" t="s">
        <v>21</v>
      </c>
      <c r="K169" s="10" t="s">
        <v>21</v>
      </c>
      <c r="L169" s="10" t="s">
        <v>21</v>
      </c>
      <c r="M169" s="10" t="s">
        <v>21</v>
      </c>
      <c r="N169" s="10" t="s">
        <v>21</v>
      </c>
      <c r="O169" s="10" t="s">
        <v>21</v>
      </c>
      <c r="P169" s="10" t="s">
        <v>21</v>
      </c>
      <c r="Q169" s="7">
        <f t="shared" si="10"/>
        <v>2</v>
      </c>
      <c r="R169" s="7">
        <f t="shared" si="11"/>
        <v>1</v>
      </c>
    </row>
    <row r="170" spans="1:18" x14ac:dyDescent="0.25">
      <c r="A170" s="2" t="s">
        <v>405</v>
      </c>
      <c r="B170" s="3" t="s">
        <v>405</v>
      </c>
      <c r="C170" s="18" t="s">
        <v>279</v>
      </c>
      <c r="D170" s="3" t="s">
        <v>406</v>
      </c>
      <c r="E170" s="5" t="s">
        <v>21</v>
      </c>
      <c r="F170" s="6">
        <v>10</v>
      </c>
      <c r="G170" s="6">
        <v>1</v>
      </c>
      <c r="H170" s="5" t="s">
        <v>21</v>
      </c>
      <c r="I170" s="5" t="s">
        <v>21</v>
      </c>
      <c r="J170" s="5" t="s">
        <v>21</v>
      </c>
      <c r="K170" s="5" t="s">
        <v>21</v>
      </c>
      <c r="L170" s="6">
        <v>1</v>
      </c>
      <c r="M170" s="6">
        <v>1</v>
      </c>
      <c r="N170" s="6">
        <v>2</v>
      </c>
      <c r="O170" s="5" t="s">
        <v>21</v>
      </c>
      <c r="P170" s="6">
        <v>2</v>
      </c>
      <c r="Q170" s="7">
        <f t="shared" si="10"/>
        <v>17</v>
      </c>
      <c r="R170" s="7">
        <f t="shared" si="11"/>
        <v>6</v>
      </c>
    </row>
    <row r="171" spans="1:18" x14ac:dyDescent="0.25">
      <c r="A171" s="8" t="s">
        <v>407</v>
      </c>
      <c r="B171" s="9" t="s">
        <v>407</v>
      </c>
      <c r="C171" s="18" t="s">
        <v>279</v>
      </c>
      <c r="D171" s="9" t="s">
        <v>408</v>
      </c>
      <c r="E171" s="10" t="s">
        <v>21</v>
      </c>
      <c r="F171" s="10" t="s">
        <v>21</v>
      </c>
      <c r="G171" s="10" t="s">
        <v>21</v>
      </c>
      <c r="H171" s="10" t="s">
        <v>21</v>
      </c>
      <c r="I171" s="10" t="s">
        <v>21</v>
      </c>
      <c r="J171" s="10" t="s">
        <v>21</v>
      </c>
      <c r="K171" s="10" t="s">
        <v>21</v>
      </c>
      <c r="L171" s="10" t="s">
        <v>21</v>
      </c>
      <c r="M171" s="11">
        <v>6</v>
      </c>
      <c r="N171" s="10" t="s">
        <v>21</v>
      </c>
      <c r="O171" s="10" t="s">
        <v>21</v>
      </c>
      <c r="P171" s="10" t="s">
        <v>21</v>
      </c>
      <c r="Q171" s="7">
        <f t="shared" si="10"/>
        <v>6</v>
      </c>
      <c r="R171" s="7">
        <f t="shared" si="11"/>
        <v>1</v>
      </c>
    </row>
    <row r="172" spans="1:18" x14ac:dyDescent="0.25">
      <c r="A172" s="2" t="s">
        <v>409</v>
      </c>
      <c r="B172" s="3" t="s">
        <v>410</v>
      </c>
      <c r="C172" s="18" t="s">
        <v>279</v>
      </c>
      <c r="D172" s="3" t="s">
        <v>411</v>
      </c>
      <c r="E172" s="5" t="s">
        <v>21</v>
      </c>
      <c r="F172" s="5" t="s">
        <v>21</v>
      </c>
      <c r="G172" s="5" t="s">
        <v>21</v>
      </c>
      <c r="H172" s="5" t="s">
        <v>21</v>
      </c>
      <c r="I172" s="5" t="s">
        <v>21</v>
      </c>
      <c r="J172" s="5" t="s">
        <v>21</v>
      </c>
      <c r="K172" s="5" t="s">
        <v>21</v>
      </c>
      <c r="L172" s="5" t="s">
        <v>21</v>
      </c>
      <c r="M172" s="6">
        <v>44</v>
      </c>
      <c r="N172" s="5" t="s">
        <v>21</v>
      </c>
      <c r="O172" s="5" t="s">
        <v>21</v>
      </c>
      <c r="P172" s="5" t="s">
        <v>21</v>
      </c>
      <c r="Q172" s="7">
        <f t="shared" si="10"/>
        <v>44</v>
      </c>
      <c r="R172" s="7">
        <f t="shared" si="11"/>
        <v>1</v>
      </c>
    </row>
    <row r="173" spans="1:18" x14ac:dyDescent="0.25">
      <c r="A173" s="8" t="s">
        <v>412</v>
      </c>
      <c r="B173" s="9" t="s">
        <v>413</v>
      </c>
      <c r="C173" s="18" t="s">
        <v>279</v>
      </c>
      <c r="D173" s="9" t="s">
        <v>414</v>
      </c>
      <c r="E173" s="10" t="s">
        <v>21</v>
      </c>
      <c r="F173" s="11">
        <v>3</v>
      </c>
      <c r="G173" s="11">
        <v>4</v>
      </c>
      <c r="H173" s="10" t="s">
        <v>21</v>
      </c>
      <c r="I173" s="10" t="s">
        <v>21</v>
      </c>
      <c r="J173" s="10" t="s">
        <v>21</v>
      </c>
      <c r="K173" s="10" t="s">
        <v>21</v>
      </c>
      <c r="L173" s="10" t="s">
        <v>21</v>
      </c>
      <c r="M173" s="10" t="s">
        <v>21</v>
      </c>
      <c r="N173" s="10" t="s">
        <v>21</v>
      </c>
      <c r="O173" s="10" t="s">
        <v>21</v>
      </c>
      <c r="P173" s="10" t="s">
        <v>21</v>
      </c>
      <c r="Q173" s="7">
        <f t="shared" si="10"/>
        <v>7</v>
      </c>
      <c r="R173" s="7">
        <f t="shared" si="11"/>
        <v>2</v>
      </c>
    </row>
    <row r="174" spans="1:18" x14ac:dyDescent="0.25">
      <c r="A174" s="2" t="s">
        <v>415</v>
      </c>
      <c r="B174" s="3" t="s">
        <v>415</v>
      </c>
      <c r="C174" s="18" t="s">
        <v>279</v>
      </c>
      <c r="D174" s="3" t="s">
        <v>416</v>
      </c>
      <c r="E174" s="5" t="s">
        <v>21</v>
      </c>
      <c r="F174" s="6">
        <v>4</v>
      </c>
      <c r="G174" s="5" t="s">
        <v>21</v>
      </c>
      <c r="H174" s="5" t="s">
        <v>21</v>
      </c>
      <c r="I174" s="6">
        <v>4</v>
      </c>
      <c r="J174" s="5" t="s">
        <v>21</v>
      </c>
      <c r="K174" s="5" t="s">
        <v>21</v>
      </c>
      <c r="L174" s="5" t="s">
        <v>21</v>
      </c>
      <c r="M174" s="5" t="s">
        <v>21</v>
      </c>
      <c r="N174" s="5" t="s">
        <v>21</v>
      </c>
      <c r="O174" s="5" t="s">
        <v>21</v>
      </c>
      <c r="P174" s="5" t="s">
        <v>21</v>
      </c>
      <c r="Q174" s="7">
        <f t="shared" si="10"/>
        <v>8</v>
      </c>
      <c r="R174" s="7">
        <f t="shared" si="11"/>
        <v>2</v>
      </c>
    </row>
    <row r="175" spans="1:18" x14ac:dyDescent="0.25">
      <c r="A175" s="8" t="s">
        <v>417</v>
      </c>
      <c r="B175" s="9" t="s">
        <v>418</v>
      </c>
      <c r="C175" s="18" t="s">
        <v>279</v>
      </c>
      <c r="D175" s="9" t="s">
        <v>419</v>
      </c>
      <c r="E175" s="10" t="s">
        <v>21</v>
      </c>
      <c r="F175" s="10" t="s">
        <v>21</v>
      </c>
      <c r="G175" s="11">
        <v>1</v>
      </c>
      <c r="H175" s="10" t="s">
        <v>21</v>
      </c>
      <c r="I175" s="10" t="s">
        <v>21</v>
      </c>
      <c r="J175" s="10" t="s">
        <v>21</v>
      </c>
      <c r="K175" s="10" t="s">
        <v>21</v>
      </c>
      <c r="L175" s="10" t="s">
        <v>21</v>
      </c>
      <c r="M175" s="10" t="s">
        <v>21</v>
      </c>
      <c r="N175" s="10" t="s">
        <v>21</v>
      </c>
      <c r="O175" s="10" t="s">
        <v>21</v>
      </c>
      <c r="P175" s="10" t="s">
        <v>21</v>
      </c>
      <c r="Q175" s="7">
        <f t="shared" si="10"/>
        <v>1</v>
      </c>
      <c r="R175" s="7">
        <f t="shared" si="11"/>
        <v>1</v>
      </c>
    </row>
    <row r="176" spans="1:18" x14ac:dyDescent="0.25">
      <c r="A176" s="2" t="s">
        <v>420</v>
      </c>
      <c r="B176" s="3" t="s">
        <v>421</v>
      </c>
      <c r="C176" s="18" t="s">
        <v>279</v>
      </c>
      <c r="D176" s="3" t="s">
        <v>422</v>
      </c>
      <c r="E176" s="5" t="s">
        <v>21</v>
      </c>
      <c r="F176" s="5" t="s">
        <v>21</v>
      </c>
      <c r="G176" s="5" t="s">
        <v>21</v>
      </c>
      <c r="H176" s="5" t="s">
        <v>21</v>
      </c>
      <c r="I176" s="5" t="s">
        <v>21</v>
      </c>
      <c r="J176" s="5" t="s">
        <v>21</v>
      </c>
      <c r="K176" s="5" t="s">
        <v>21</v>
      </c>
      <c r="L176" s="5" t="s">
        <v>21</v>
      </c>
      <c r="M176" s="6">
        <v>1</v>
      </c>
      <c r="N176" s="5" t="s">
        <v>21</v>
      </c>
      <c r="O176" s="5" t="s">
        <v>21</v>
      </c>
      <c r="P176" s="5" t="s">
        <v>21</v>
      </c>
      <c r="Q176" s="7">
        <f t="shared" si="10"/>
        <v>1</v>
      </c>
      <c r="R176" s="7">
        <f t="shared" si="11"/>
        <v>1</v>
      </c>
    </row>
    <row r="177" spans="1:18" x14ac:dyDescent="0.25">
      <c r="A177" s="8" t="s">
        <v>420</v>
      </c>
      <c r="B177" s="9" t="s">
        <v>421</v>
      </c>
      <c r="C177" s="18" t="s">
        <v>279</v>
      </c>
      <c r="D177" s="9" t="s">
        <v>423</v>
      </c>
      <c r="E177" s="10" t="s">
        <v>21</v>
      </c>
      <c r="F177" s="11">
        <v>1</v>
      </c>
      <c r="G177" s="10" t="s">
        <v>21</v>
      </c>
      <c r="H177" s="10" t="s">
        <v>21</v>
      </c>
      <c r="I177" s="10" t="s">
        <v>21</v>
      </c>
      <c r="J177" s="10" t="s">
        <v>21</v>
      </c>
      <c r="K177" s="10" t="s">
        <v>21</v>
      </c>
      <c r="L177" s="10" t="s">
        <v>21</v>
      </c>
      <c r="M177" s="10" t="s">
        <v>21</v>
      </c>
      <c r="N177" s="10" t="s">
        <v>21</v>
      </c>
      <c r="O177" s="10" t="s">
        <v>21</v>
      </c>
      <c r="P177" s="11">
        <v>1</v>
      </c>
      <c r="Q177" s="7">
        <f t="shared" si="10"/>
        <v>2</v>
      </c>
      <c r="R177" s="7">
        <f t="shared" si="11"/>
        <v>2</v>
      </c>
    </row>
    <row r="178" spans="1:18" x14ac:dyDescent="0.25">
      <c r="A178" s="2" t="s">
        <v>424</v>
      </c>
      <c r="B178" s="3" t="s">
        <v>425</v>
      </c>
      <c r="C178" s="18" t="s">
        <v>279</v>
      </c>
      <c r="D178" s="3" t="s">
        <v>426</v>
      </c>
      <c r="E178" s="5" t="s">
        <v>21</v>
      </c>
      <c r="F178" s="6">
        <v>2</v>
      </c>
      <c r="G178" s="5" t="s">
        <v>21</v>
      </c>
      <c r="H178" s="5" t="s">
        <v>21</v>
      </c>
      <c r="I178" s="5" t="s">
        <v>21</v>
      </c>
      <c r="J178" s="5" t="s">
        <v>21</v>
      </c>
      <c r="K178" s="5" t="s">
        <v>21</v>
      </c>
      <c r="L178" s="5" t="s">
        <v>21</v>
      </c>
      <c r="M178" s="6">
        <v>2</v>
      </c>
      <c r="N178" s="5" t="s">
        <v>21</v>
      </c>
      <c r="O178" s="5" t="s">
        <v>21</v>
      </c>
      <c r="P178" s="6">
        <v>2</v>
      </c>
      <c r="Q178" s="7">
        <f t="shared" si="10"/>
        <v>6</v>
      </c>
      <c r="R178" s="7">
        <f t="shared" si="11"/>
        <v>3</v>
      </c>
    </row>
    <row r="179" spans="1:18" x14ac:dyDescent="0.25">
      <c r="A179" s="8" t="s">
        <v>427</v>
      </c>
      <c r="B179" s="9" t="s">
        <v>428</v>
      </c>
      <c r="C179" s="18" t="s">
        <v>279</v>
      </c>
      <c r="D179" s="9" t="s">
        <v>429</v>
      </c>
      <c r="E179" s="10" t="s">
        <v>21</v>
      </c>
      <c r="F179" s="10" t="s">
        <v>21</v>
      </c>
      <c r="G179" s="10" t="s">
        <v>21</v>
      </c>
      <c r="H179" s="10" t="s">
        <v>21</v>
      </c>
      <c r="I179" s="10" t="s">
        <v>21</v>
      </c>
      <c r="J179" s="10" t="s">
        <v>21</v>
      </c>
      <c r="K179" s="10" t="s">
        <v>21</v>
      </c>
      <c r="L179" s="10" t="s">
        <v>21</v>
      </c>
      <c r="M179" s="11">
        <v>1</v>
      </c>
      <c r="N179" s="10" t="s">
        <v>21</v>
      </c>
      <c r="O179" s="10" t="s">
        <v>21</v>
      </c>
      <c r="P179" s="10" t="s">
        <v>21</v>
      </c>
      <c r="Q179" s="7">
        <f t="shared" si="10"/>
        <v>1</v>
      </c>
      <c r="R179" s="7">
        <f t="shared" si="11"/>
        <v>1</v>
      </c>
    </row>
    <row r="180" spans="1:18" x14ac:dyDescent="0.25">
      <c r="A180" s="2" t="s">
        <v>430</v>
      </c>
      <c r="B180" s="3" t="s">
        <v>431</v>
      </c>
      <c r="C180" s="18" t="s">
        <v>279</v>
      </c>
      <c r="D180" s="3" t="s">
        <v>432</v>
      </c>
      <c r="E180" s="5" t="s">
        <v>21</v>
      </c>
      <c r="F180" s="6">
        <v>2</v>
      </c>
      <c r="G180" s="5" t="s">
        <v>21</v>
      </c>
      <c r="H180" s="5" t="s">
        <v>21</v>
      </c>
      <c r="I180" s="5" t="s">
        <v>21</v>
      </c>
      <c r="J180" s="5" t="s">
        <v>21</v>
      </c>
      <c r="K180" s="5" t="s">
        <v>21</v>
      </c>
      <c r="L180" s="5" t="s">
        <v>21</v>
      </c>
      <c r="M180" s="6">
        <v>2</v>
      </c>
      <c r="N180" s="5" t="s">
        <v>21</v>
      </c>
      <c r="O180" s="5" t="s">
        <v>21</v>
      </c>
      <c r="P180" s="6">
        <v>2</v>
      </c>
      <c r="Q180" s="7">
        <f t="shared" si="10"/>
        <v>6</v>
      </c>
      <c r="R180" s="7">
        <f t="shared" si="11"/>
        <v>3</v>
      </c>
    </row>
    <row r="181" spans="1:18" x14ac:dyDescent="0.25">
      <c r="A181" s="8" t="s">
        <v>433</v>
      </c>
      <c r="B181" s="9" t="s">
        <v>434</v>
      </c>
      <c r="C181" s="18" t="s">
        <v>279</v>
      </c>
      <c r="D181" s="9" t="s">
        <v>435</v>
      </c>
      <c r="E181" s="10" t="s">
        <v>21</v>
      </c>
      <c r="F181" s="10" t="s">
        <v>21</v>
      </c>
      <c r="G181" s="10" t="s">
        <v>21</v>
      </c>
      <c r="H181" s="10" t="s">
        <v>21</v>
      </c>
      <c r="I181" s="10" t="s">
        <v>21</v>
      </c>
      <c r="J181" s="10" t="s">
        <v>21</v>
      </c>
      <c r="K181" s="10" t="s">
        <v>21</v>
      </c>
      <c r="L181" s="10" t="s">
        <v>21</v>
      </c>
      <c r="M181" s="10" t="s">
        <v>21</v>
      </c>
      <c r="N181" s="10" t="s">
        <v>21</v>
      </c>
      <c r="O181" s="10" t="s">
        <v>21</v>
      </c>
      <c r="P181" s="11">
        <v>10</v>
      </c>
      <c r="Q181" s="7">
        <f t="shared" si="10"/>
        <v>10</v>
      </c>
      <c r="R181" s="7">
        <f t="shared" si="11"/>
        <v>1</v>
      </c>
    </row>
    <row r="182" spans="1:18" x14ac:dyDescent="0.25">
      <c r="A182" s="2" t="s">
        <v>436</v>
      </c>
      <c r="B182" s="3" t="s">
        <v>436</v>
      </c>
      <c r="C182" s="18" t="s">
        <v>279</v>
      </c>
      <c r="D182" s="3" t="s">
        <v>437</v>
      </c>
      <c r="E182" s="5" t="s">
        <v>21</v>
      </c>
      <c r="F182" s="5" t="s">
        <v>21</v>
      </c>
      <c r="G182" s="5" t="s">
        <v>21</v>
      </c>
      <c r="H182" s="5" t="s">
        <v>21</v>
      </c>
      <c r="I182" s="5" t="s">
        <v>21</v>
      </c>
      <c r="J182" s="5" t="s">
        <v>21</v>
      </c>
      <c r="K182" s="5" t="s">
        <v>21</v>
      </c>
      <c r="L182" s="5" t="s">
        <v>21</v>
      </c>
      <c r="M182" s="5" t="s">
        <v>21</v>
      </c>
      <c r="N182" s="5" t="s">
        <v>21</v>
      </c>
      <c r="O182" s="5" t="s">
        <v>21</v>
      </c>
      <c r="P182" s="6">
        <v>10</v>
      </c>
      <c r="Q182" s="7">
        <f t="shared" si="10"/>
        <v>10</v>
      </c>
      <c r="R182" s="7">
        <f t="shared" si="11"/>
        <v>1</v>
      </c>
    </row>
    <row r="183" spans="1:18" x14ac:dyDescent="0.25">
      <c r="A183" s="8" t="s">
        <v>438</v>
      </c>
      <c r="B183" s="9" t="s">
        <v>439</v>
      </c>
      <c r="C183" s="18" t="s">
        <v>279</v>
      </c>
      <c r="D183" s="9" t="s">
        <v>438</v>
      </c>
      <c r="E183" s="10" t="s">
        <v>21</v>
      </c>
      <c r="F183" s="10" t="s">
        <v>21</v>
      </c>
      <c r="G183" s="10" t="s">
        <v>21</v>
      </c>
      <c r="H183" s="10" t="s">
        <v>21</v>
      </c>
      <c r="I183" s="10" t="s">
        <v>21</v>
      </c>
      <c r="J183" s="10" t="s">
        <v>21</v>
      </c>
      <c r="K183" s="10" t="s">
        <v>21</v>
      </c>
      <c r="L183" s="11">
        <v>2</v>
      </c>
      <c r="M183" s="10" t="s">
        <v>21</v>
      </c>
      <c r="N183" s="10" t="s">
        <v>21</v>
      </c>
      <c r="O183" s="10" t="s">
        <v>21</v>
      </c>
      <c r="P183" s="10" t="s">
        <v>21</v>
      </c>
      <c r="Q183" s="7">
        <f t="shared" si="10"/>
        <v>2</v>
      </c>
      <c r="R183" s="7">
        <f t="shared" si="11"/>
        <v>1</v>
      </c>
    </row>
    <row r="184" spans="1:18" x14ac:dyDescent="0.25">
      <c r="A184" s="2" t="s">
        <v>440</v>
      </c>
      <c r="B184" s="3" t="s">
        <v>441</v>
      </c>
      <c r="C184" s="18" t="s">
        <v>279</v>
      </c>
      <c r="D184" s="3" t="s">
        <v>440</v>
      </c>
      <c r="E184" s="5" t="s">
        <v>21</v>
      </c>
      <c r="F184" s="5" t="s">
        <v>21</v>
      </c>
      <c r="G184" s="5" t="s">
        <v>21</v>
      </c>
      <c r="H184" s="6">
        <v>2</v>
      </c>
      <c r="I184" s="5" t="s">
        <v>21</v>
      </c>
      <c r="J184" s="5" t="s">
        <v>21</v>
      </c>
      <c r="K184" s="5" t="s">
        <v>21</v>
      </c>
      <c r="L184" s="5" t="s">
        <v>21</v>
      </c>
      <c r="M184" s="5" t="s">
        <v>21</v>
      </c>
      <c r="N184" s="5" t="s">
        <v>21</v>
      </c>
      <c r="O184" s="5" t="s">
        <v>21</v>
      </c>
      <c r="P184" s="5" t="s">
        <v>21</v>
      </c>
      <c r="Q184" s="7">
        <f t="shared" si="10"/>
        <v>2</v>
      </c>
      <c r="R184" s="7">
        <f t="shared" si="11"/>
        <v>1</v>
      </c>
    </row>
    <row r="185" spans="1:18" x14ac:dyDescent="0.25">
      <c r="A185" s="8" t="s">
        <v>442</v>
      </c>
      <c r="B185" s="9" t="s">
        <v>443</v>
      </c>
      <c r="C185" s="19" t="s">
        <v>444</v>
      </c>
      <c r="D185" s="9" t="s">
        <v>442</v>
      </c>
      <c r="E185" s="10" t="s">
        <v>21</v>
      </c>
      <c r="F185" s="10" t="s">
        <v>21</v>
      </c>
      <c r="G185" s="10" t="s">
        <v>21</v>
      </c>
      <c r="H185" s="10" t="s">
        <v>21</v>
      </c>
      <c r="I185" s="10" t="s">
        <v>21</v>
      </c>
      <c r="J185" s="10" t="s">
        <v>21</v>
      </c>
      <c r="K185" s="10" t="s">
        <v>21</v>
      </c>
      <c r="L185" s="11">
        <v>2</v>
      </c>
      <c r="M185" s="10" t="s">
        <v>21</v>
      </c>
      <c r="N185" s="10" t="s">
        <v>21</v>
      </c>
      <c r="O185" s="10" t="s">
        <v>21</v>
      </c>
      <c r="P185" s="10" t="s">
        <v>21</v>
      </c>
      <c r="Q185" s="7">
        <f t="shared" si="10"/>
        <v>2</v>
      </c>
      <c r="R185" s="7">
        <f t="shared" si="11"/>
        <v>1</v>
      </c>
    </row>
    <row r="186" spans="1:18" x14ac:dyDescent="0.25">
      <c r="A186" s="2" t="s">
        <v>445</v>
      </c>
      <c r="B186" s="3" t="s">
        <v>446</v>
      </c>
      <c r="C186" s="20" t="s">
        <v>447</v>
      </c>
      <c r="D186" s="3" t="s">
        <v>445</v>
      </c>
      <c r="E186" s="5" t="s">
        <v>21</v>
      </c>
      <c r="F186" s="5" t="s">
        <v>21</v>
      </c>
      <c r="G186" s="5" t="s">
        <v>21</v>
      </c>
      <c r="H186" s="5" t="s">
        <v>21</v>
      </c>
      <c r="I186" s="5" t="s">
        <v>21</v>
      </c>
      <c r="J186" s="5" t="s">
        <v>21</v>
      </c>
      <c r="K186" s="5" t="s">
        <v>21</v>
      </c>
      <c r="L186" s="5" t="s">
        <v>21</v>
      </c>
      <c r="M186" s="5" t="s">
        <v>21</v>
      </c>
      <c r="N186" s="6">
        <v>1</v>
      </c>
      <c r="O186" s="5" t="s">
        <v>21</v>
      </c>
      <c r="P186" s="5" t="s">
        <v>21</v>
      </c>
      <c r="Q186" s="7">
        <f t="shared" si="10"/>
        <v>1</v>
      </c>
      <c r="R186" s="7">
        <f t="shared" si="11"/>
        <v>1</v>
      </c>
    </row>
    <row r="187" spans="1:18" x14ac:dyDescent="0.25">
      <c r="A187" s="8" t="s">
        <v>448</v>
      </c>
      <c r="B187" s="9" t="s">
        <v>449</v>
      </c>
      <c r="C187" s="20" t="s">
        <v>447</v>
      </c>
      <c r="D187" s="9" t="s">
        <v>450</v>
      </c>
      <c r="E187" s="10" t="s">
        <v>21</v>
      </c>
      <c r="F187" s="10" t="s">
        <v>21</v>
      </c>
      <c r="G187" s="10" t="s">
        <v>21</v>
      </c>
      <c r="H187" s="10" t="s">
        <v>21</v>
      </c>
      <c r="I187" s="10" t="s">
        <v>21</v>
      </c>
      <c r="J187" s="10" t="s">
        <v>21</v>
      </c>
      <c r="K187" s="10" t="s">
        <v>21</v>
      </c>
      <c r="L187" s="10" t="s">
        <v>21</v>
      </c>
      <c r="M187" s="10" t="s">
        <v>21</v>
      </c>
      <c r="N187" s="11">
        <v>2</v>
      </c>
      <c r="O187" s="10" t="s">
        <v>21</v>
      </c>
      <c r="P187" s="10" t="s">
        <v>21</v>
      </c>
      <c r="Q187" s="7">
        <f t="shared" si="10"/>
        <v>2</v>
      </c>
      <c r="R187" s="7">
        <f t="shared" si="11"/>
        <v>1</v>
      </c>
    </row>
    <row r="188" spans="1:18" x14ac:dyDescent="0.25">
      <c r="A188" s="2" t="s">
        <v>448</v>
      </c>
      <c r="B188" s="3" t="s">
        <v>449</v>
      </c>
      <c r="C188" s="20" t="s">
        <v>447</v>
      </c>
      <c r="D188" s="3" t="s">
        <v>451</v>
      </c>
      <c r="E188" s="5" t="s">
        <v>21</v>
      </c>
      <c r="F188" s="5" t="s">
        <v>21</v>
      </c>
      <c r="G188" s="5" t="s">
        <v>21</v>
      </c>
      <c r="H188" s="5" t="s">
        <v>21</v>
      </c>
      <c r="I188" s="5" t="s">
        <v>21</v>
      </c>
      <c r="J188" s="5" t="s">
        <v>21</v>
      </c>
      <c r="K188" s="5" t="s">
        <v>21</v>
      </c>
      <c r="L188" s="6">
        <v>1</v>
      </c>
      <c r="M188" s="5" t="s">
        <v>21</v>
      </c>
      <c r="N188" s="5" t="s">
        <v>21</v>
      </c>
      <c r="O188" s="5" t="s">
        <v>21</v>
      </c>
      <c r="P188" s="5" t="s">
        <v>21</v>
      </c>
      <c r="Q188" s="7">
        <f t="shared" si="10"/>
        <v>1</v>
      </c>
      <c r="R188" s="7">
        <f t="shared" si="11"/>
        <v>1</v>
      </c>
    </row>
    <row r="189" spans="1:18" x14ac:dyDescent="0.25">
      <c r="A189" s="8" t="s">
        <v>448</v>
      </c>
      <c r="B189" s="9" t="s">
        <v>449</v>
      </c>
      <c r="C189" s="20" t="s">
        <v>447</v>
      </c>
      <c r="D189" s="9" t="s">
        <v>452</v>
      </c>
      <c r="E189" s="10" t="s">
        <v>21</v>
      </c>
      <c r="F189" s="10" t="s">
        <v>21</v>
      </c>
      <c r="G189" s="11">
        <v>1</v>
      </c>
      <c r="H189" s="10" t="s">
        <v>21</v>
      </c>
      <c r="I189" s="10" t="s">
        <v>21</v>
      </c>
      <c r="J189" s="10" t="s">
        <v>21</v>
      </c>
      <c r="K189" s="10" t="s">
        <v>21</v>
      </c>
      <c r="L189" s="10" t="s">
        <v>21</v>
      </c>
      <c r="M189" s="10" t="s">
        <v>21</v>
      </c>
      <c r="N189" s="10" t="s">
        <v>21</v>
      </c>
      <c r="O189" s="10" t="s">
        <v>21</v>
      </c>
      <c r="P189" s="11">
        <v>1</v>
      </c>
      <c r="Q189" s="7">
        <f t="shared" si="10"/>
        <v>2</v>
      </c>
      <c r="R189" s="7">
        <f t="shared" si="11"/>
        <v>2</v>
      </c>
    </row>
    <row r="190" spans="1:18" x14ac:dyDescent="0.25">
      <c r="A190" s="2" t="s">
        <v>453</v>
      </c>
      <c r="B190" s="3" t="s">
        <v>454</v>
      </c>
      <c r="C190" s="20" t="s">
        <v>447</v>
      </c>
      <c r="D190" s="3" t="s">
        <v>455</v>
      </c>
      <c r="E190" s="5" t="s">
        <v>21</v>
      </c>
      <c r="F190" s="5" t="s">
        <v>21</v>
      </c>
      <c r="G190" s="5" t="s">
        <v>21</v>
      </c>
      <c r="H190" s="5" t="s">
        <v>21</v>
      </c>
      <c r="I190" s="6">
        <v>14</v>
      </c>
      <c r="J190" s="5" t="s">
        <v>21</v>
      </c>
      <c r="K190" s="5" t="s">
        <v>21</v>
      </c>
      <c r="L190" s="5" t="s">
        <v>21</v>
      </c>
      <c r="M190" s="5" t="s">
        <v>21</v>
      </c>
      <c r="N190" s="5" t="s">
        <v>21</v>
      </c>
      <c r="O190" s="5" t="s">
        <v>21</v>
      </c>
      <c r="P190" s="5" t="s">
        <v>21</v>
      </c>
      <c r="Q190" s="7">
        <f t="shared" si="10"/>
        <v>14</v>
      </c>
      <c r="R190" s="7">
        <f t="shared" si="11"/>
        <v>1</v>
      </c>
    </row>
    <row r="191" spans="1:18" x14ac:dyDescent="0.25">
      <c r="A191" s="8" t="s">
        <v>456</v>
      </c>
      <c r="B191" s="9" t="s">
        <v>457</v>
      </c>
      <c r="C191" s="20" t="s">
        <v>447</v>
      </c>
      <c r="D191" s="9" t="s">
        <v>458</v>
      </c>
      <c r="E191" s="10" t="s">
        <v>21</v>
      </c>
      <c r="F191" s="10" t="s">
        <v>21</v>
      </c>
      <c r="G191" s="10" t="s">
        <v>21</v>
      </c>
      <c r="H191" s="10" t="s">
        <v>21</v>
      </c>
      <c r="I191" s="10" t="s">
        <v>21</v>
      </c>
      <c r="J191" s="10" t="s">
        <v>21</v>
      </c>
      <c r="K191" s="10" t="s">
        <v>21</v>
      </c>
      <c r="L191" s="10" t="s">
        <v>21</v>
      </c>
      <c r="M191" s="10" t="s">
        <v>21</v>
      </c>
      <c r="N191" s="11">
        <v>2</v>
      </c>
      <c r="O191" s="10" t="s">
        <v>21</v>
      </c>
      <c r="P191" s="10" t="s">
        <v>21</v>
      </c>
      <c r="Q191" s="7">
        <f t="shared" si="10"/>
        <v>2</v>
      </c>
      <c r="R191" s="7">
        <f t="shared" si="11"/>
        <v>1</v>
      </c>
    </row>
    <row r="192" spans="1:18" x14ac:dyDescent="0.25">
      <c r="A192" s="2" t="s">
        <v>459</v>
      </c>
      <c r="B192" s="3" t="s">
        <v>460</v>
      </c>
      <c r="C192" s="20" t="s">
        <v>447</v>
      </c>
      <c r="D192" s="3" t="s">
        <v>461</v>
      </c>
      <c r="E192" s="5" t="s">
        <v>21</v>
      </c>
      <c r="F192" s="6">
        <v>3</v>
      </c>
      <c r="G192" s="5" t="s">
        <v>21</v>
      </c>
      <c r="H192" s="5" t="s">
        <v>21</v>
      </c>
      <c r="I192" s="5" t="s">
        <v>21</v>
      </c>
      <c r="J192" s="5" t="s">
        <v>21</v>
      </c>
      <c r="K192" s="5" t="s">
        <v>21</v>
      </c>
      <c r="L192" s="5" t="s">
        <v>21</v>
      </c>
      <c r="M192" s="5" t="s">
        <v>21</v>
      </c>
      <c r="N192" s="5" t="s">
        <v>21</v>
      </c>
      <c r="O192" s="5" t="s">
        <v>21</v>
      </c>
      <c r="P192" s="5" t="s">
        <v>21</v>
      </c>
      <c r="Q192" s="7">
        <f t="shared" si="10"/>
        <v>3</v>
      </c>
      <c r="R192" s="7">
        <f t="shared" si="11"/>
        <v>1</v>
      </c>
    </row>
    <row r="193" spans="1:18" x14ac:dyDescent="0.25">
      <c r="A193" s="8" t="s">
        <v>462</v>
      </c>
      <c r="B193" s="9" t="s">
        <v>463</v>
      </c>
      <c r="C193" s="20" t="s">
        <v>447</v>
      </c>
      <c r="D193" s="9" t="s">
        <v>462</v>
      </c>
      <c r="E193" s="10" t="s">
        <v>21</v>
      </c>
      <c r="F193" s="11">
        <v>1</v>
      </c>
      <c r="G193" s="10" t="s">
        <v>21</v>
      </c>
      <c r="H193" s="10" t="s">
        <v>21</v>
      </c>
      <c r="I193" s="10" t="s">
        <v>21</v>
      </c>
      <c r="J193" s="10" t="s">
        <v>21</v>
      </c>
      <c r="K193" s="10" t="s">
        <v>21</v>
      </c>
      <c r="L193" s="10" t="s">
        <v>21</v>
      </c>
      <c r="M193" s="10" t="s">
        <v>21</v>
      </c>
      <c r="N193" s="10" t="s">
        <v>21</v>
      </c>
      <c r="O193" s="10" t="s">
        <v>21</v>
      </c>
      <c r="P193" s="10" t="s">
        <v>21</v>
      </c>
      <c r="Q193" s="7">
        <f t="shared" si="10"/>
        <v>1</v>
      </c>
      <c r="R193" s="7">
        <f t="shared" si="11"/>
        <v>1</v>
      </c>
    </row>
    <row r="194" spans="1:18" x14ac:dyDescent="0.25">
      <c r="A194" s="2" t="s">
        <v>464</v>
      </c>
      <c r="B194" s="3" t="s">
        <v>465</v>
      </c>
      <c r="C194" s="20" t="s">
        <v>447</v>
      </c>
      <c r="D194" s="3" t="s">
        <v>464</v>
      </c>
      <c r="E194" s="5" t="s">
        <v>21</v>
      </c>
      <c r="F194" s="5" t="s">
        <v>21</v>
      </c>
      <c r="G194" s="5" t="s">
        <v>21</v>
      </c>
      <c r="H194" s="5" t="s">
        <v>21</v>
      </c>
      <c r="I194" s="6">
        <v>2</v>
      </c>
      <c r="J194" s="5" t="s">
        <v>21</v>
      </c>
      <c r="K194" s="5" t="s">
        <v>21</v>
      </c>
      <c r="L194" s="5" t="s">
        <v>21</v>
      </c>
      <c r="M194" s="5" t="s">
        <v>21</v>
      </c>
      <c r="N194" s="5" t="s">
        <v>21</v>
      </c>
      <c r="O194" s="5" t="s">
        <v>21</v>
      </c>
      <c r="P194" s="5" t="s">
        <v>21</v>
      </c>
      <c r="Q194" s="7">
        <f t="shared" ref="Q194:Q225" si="12">SUMIF(E194:P194,"&gt;0")</f>
        <v>2</v>
      </c>
      <c r="R194" s="7">
        <f t="shared" si="11"/>
        <v>1</v>
      </c>
    </row>
    <row r="195" spans="1:18" x14ac:dyDescent="0.25">
      <c r="A195" s="8" t="s">
        <v>466</v>
      </c>
      <c r="B195" s="9" t="s">
        <v>467</v>
      </c>
      <c r="C195" s="20" t="s">
        <v>447</v>
      </c>
      <c r="D195" s="9" t="s">
        <v>466</v>
      </c>
      <c r="E195" s="10" t="s">
        <v>21</v>
      </c>
      <c r="F195" s="11">
        <v>2</v>
      </c>
      <c r="G195" s="11">
        <v>1</v>
      </c>
      <c r="H195" s="10" t="s">
        <v>21</v>
      </c>
      <c r="I195" s="10" t="s">
        <v>21</v>
      </c>
      <c r="J195" s="10" t="s">
        <v>21</v>
      </c>
      <c r="K195" s="10" t="s">
        <v>21</v>
      </c>
      <c r="L195" s="10" t="s">
        <v>21</v>
      </c>
      <c r="M195" s="10" t="s">
        <v>21</v>
      </c>
      <c r="N195" s="10" t="s">
        <v>21</v>
      </c>
      <c r="O195" s="10" t="s">
        <v>21</v>
      </c>
      <c r="P195" s="10" t="s">
        <v>21</v>
      </c>
      <c r="Q195" s="7">
        <f t="shared" si="12"/>
        <v>3</v>
      </c>
      <c r="R195" s="7">
        <f t="shared" si="11"/>
        <v>2</v>
      </c>
    </row>
    <row r="196" spans="1:18" x14ac:dyDescent="0.25">
      <c r="A196" s="2" t="s">
        <v>468</v>
      </c>
      <c r="B196" s="3" t="s">
        <v>469</v>
      </c>
      <c r="C196" s="20" t="s">
        <v>447</v>
      </c>
      <c r="D196" s="3" t="s">
        <v>468</v>
      </c>
      <c r="E196" s="5" t="s">
        <v>21</v>
      </c>
      <c r="F196" s="5" t="s">
        <v>21</v>
      </c>
      <c r="G196" s="5" t="s">
        <v>21</v>
      </c>
      <c r="H196" s="5" t="s">
        <v>21</v>
      </c>
      <c r="I196" s="6">
        <v>2</v>
      </c>
      <c r="J196" s="5" t="s">
        <v>21</v>
      </c>
      <c r="K196" s="5" t="s">
        <v>21</v>
      </c>
      <c r="L196" s="5" t="s">
        <v>21</v>
      </c>
      <c r="M196" s="5" t="s">
        <v>21</v>
      </c>
      <c r="N196" s="5" t="s">
        <v>21</v>
      </c>
      <c r="O196" s="5" t="s">
        <v>21</v>
      </c>
      <c r="P196" s="5" t="s">
        <v>21</v>
      </c>
      <c r="Q196" s="7">
        <f t="shared" si="12"/>
        <v>2</v>
      </c>
      <c r="R196" s="7">
        <f t="shared" si="11"/>
        <v>1</v>
      </c>
    </row>
    <row r="197" spans="1:18" x14ac:dyDescent="0.25">
      <c r="A197" s="8" t="s">
        <v>470</v>
      </c>
      <c r="B197" s="9" t="s">
        <v>471</v>
      </c>
      <c r="C197" s="20" t="s">
        <v>447</v>
      </c>
      <c r="D197" s="9" t="s">
        <v>470</v>
      </c>
      <c r="E197" s="10" t="s">
        <v>21</v>
      </c>
      <c r="F197" s="10" t="s">
        <v>21</v>
      </c>
      <c r="G197" s="10" t="s">
        <v>21</v>
      </c>
      <c r="H197" s="10" t="s">
        <v>21</v>
      </c>
      <c r="I197" s="11">
        <v>14</v>
      </c>
      <c r="J197" s="10" t="s">
        <v>21</v>
      </c>
      <c r="K197" s="10" t="s">
        <v>21</v>
      </c>
      <c r="L197" s="10" t="s">
        <v>21</v>
      </c>
      <c r="M197" s="10" t="s">
        <v>21</v>
      </c>
      <c r="N197" s="10" t="s">
        <v>21</v>
      </c>
      <c r="O197" s="10" t="s">
        <v>21</v>
      </c>
      <c r="P197" s="10" t="s">
        <v>21</v>
      </c>
      <c r="Q197" s="7">
        <f t="shared" si="12"/>
        <v>14</v>
      </c>
      <c r="R197" s="7">
        <f t="shared" si="11"/>
        <v>1</v>
      </c>
    </row>
  </sheetData>
  <autoFilter ref="A1:R197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4"/>
  <sheetViews>
    <sheetView tabSelected="1" workbookViewId="0">
      <pane ySplit="2" topLeftCell="A3" activePane="bottomLeft" state="frozen"/>
      <selection pane="bottomLeft" activeCell="A15" sqref="A15"/>
    </sheetView>
  </sheetViews>
  <sheetFormatPr defaultRowHeight="15" x14ac:dyDescent="0.25"/>
  <cols>
    <col min="1" max="3" width="18" customWidth="1"/>
    <col min="4" max="14" width="13" customWidth="1"/>
  </cols>
  <sheetData>
    <row r="1" spans="1:14" ht="30" customHeight="1" x14ac:dyDescent="0.25">
      <c r="A1" s="52" t="s">
        <v>782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4" ht="32.1" customHeight="1" x14ac:dyDescent="0.25">
      <c r="A2" s="1" t="s">
        <v>472</v>
      </c>
      <c r="B2" s="1" t="s">
        <v>783</v>
      </c>
      <c r="C2" s="1" t="s">
        <v>784</v>
      </c>
      <c r="D2" s="30" t="s">
        <v>19</v>
      </c>
      <c r="E2" s="31" t="s">
        <v>279</v>
      </c>
      <c r="F2" s="32" t="s">
        <v>117</v>
      </c>
      <c r="G2" s="33" t="s">
        <v>224</v>
      </c>
      <c r="H2" s="34" t="s">
        <v>157</v>
      </c>
      <c r="I2" s="35" t="s">
        <v>213</v>
      </c>
      <c r="J2" s="36" t="s">
        <v>92</v>
      </c>
      <c r="K2" s="37" t="s">
        <v>444</v>
      </c>
      <c r="L2" s="38" t="s">
        <v>785</v>
      </c>
      <c r="M2" s="39" t="s">
        <v>447</v>
      </c>
      <c r="N2" s="40" t="s">
        <v>245</v>
      </c>
    </row>
    <row r="3" spans="1:14" x14ac:dyDescent="0.25">
      <c r="A3" s="8" t="s">
        <v>4</v>
      </c>
      <c r="B3" s="7">
        <v>27</v>
      </c>
      <c r="C3" s="7">
        <v>10</v>
      </c>
      <c r="D3" s="21">
        <v>4</v>
      </c>
      <c r="E3" s="27">
        <v>2</v>
      </c>
      <c r="F3" s="23">
        <v>4</v>
      </c>
      <c r="G3" s="26">
        <v>6</v>
      </c>
      <c r="H3" s="24">
        <v>2</v>
      </c>
      <c r="I3" s="25">
        <v>3</v>
      </c>
      <c r="J3" s="22">
        <v>1</v>
      </c>
      <c r="K3" s="41"/>
      <c r="L3" s="42"/>
      <c r="M3" s="43"/>
      <c r="N3" s="11">
        <v>5</v>
      </c>
    </row>
    <row r="4" spans="1:14" x14ac:dyDescent="0.25">
      <c r="A4" s="2" t="s">
        <v>5</v>
      </c>
      <c r="B4" s="7">
        <v>209</v>
      </c>
      <c r="C4" s="7">
        <v>77</v>
      </c>
      <c r="D4" s="21">
        <v>71</v>
      </c>
      <c r="E4" s="27">
        <v>58</v>
      </c>
      <c r="F4" s="23">
        <v>25</v>
      </c>
      <c r="G4" s="26">
        <v>8</v>
      </c>
      <c r="H4" s="24">
        <v>18</v>
      </c>
      <c r="I4" s="25">
        <v>2</v>
      </c>
      <c r="J4" s="22">
        <v>6</v>
      </c>
      <c r="K4" s="41"/>
      <c r="L4" s="42"/>
      <c r="M4" s="28">
        <v>6</v>
      </c>
      <c r="N4" s="11">
        <v>15</v>
      </c>
    </row>
    <row r="5" spans="1:14" x14ac:dyDescent="0.25">
      <c r="A5" s="8" t="s">
        <v>6</v>
      </c>
      <c r="B5" s="7">
        <v>154</v>
      </c>
      <c r="C5" s="7">
        <v>50</v>
      </c>
      <c r="D5" s="21">
        <v>36</v>
      </c>
      <c r="E5" s="27">
        <v>70</v>
      </c>
      <c r="F5" s="23">
        <v>11</v>
      </c>
      <c r="G5" s="26">
        <v>10</v>
      </c>
      <c r="H5" s="24">
        <v>13</v>
      </c>
      <c r="I5" s="25">
        <v>1</v>
      </c>
      <c r="J5" s="44"/>
      <c r="K5" s="41"/>
      <c r="L5" s="42"/>
      <c r="M5" s="28">
        <v>2</v>
      </c>
      <c r="N5" s="11">
        <v>11</v>
      </c>
    </row>
    <row r="6" spans="1:14" x14ac:dyDescent="0.25">
      <c r="A6" s="2" t="s">
        <v>7</v>
      </c>
      <c r="B6" s="7">
        <v>71</v>
      </c>
      <c r="C6" s="7">
        <v>20</v>
      </c>
      <c r="D6" s="21">
        <v>15</v>
      </c>
      <c r="E6" s="27">
        <v>37</v>
      </c>
      <c r="F6" s="23">
        <v>5</v>
      </c>
      <c r="G6" s="26">
        <v>7</v>
      </c>
      <c r="H6" s="24">
        <v>5</v>
      </c>
      <c r="I6" s="45"/>
      <c r="J6" s="22">
        <v>1</v>
      </c>
      <c r="K6" s="41"/>
      <c r="L6" s="42"/>
      <c r="M6" s="43"/>
      <c r="N6" s="11">
        <v>1</v>
      </c>
    </row>
    <row r="7" spans="1:14" x14ac:dyDescent="0.25">
      <c r="A7" s="8" t="s">
        <v>8</v>
      </c>
      <c r="B7" s="7">
        <v>345</v>
      </c>
      <c r="C7" s="7">
        <v>32</v>
      </c>
      <c r="D7" s="21">
        <v>104</v>
      </c>
      <c r="E7" s="27">
        <v>130</v>
      </c>
      <c r="F7" s="23">
        <v>4</v>
      </c>
      <c r="G7" s="46"/>
      <c r="H7" s="24">
        <v>2</v>
      </c>
      <c r="I7" s="45"/>
      <c r="J7" s="22">
        <v>2</v>
      </c>
      <c r="K7" s="41"/>
      <c r="L7" s="42"/>
      <c r="M7" s="28">
        <v>32</v>
      </c>
      <c r="N7" s="11">
        <v>71</v>
      </c>
    </row>
    <row r="8" spans="1:14" x14ac:dyDescent="0.25">
      <c r="A8" s="2" t="s">
        <v>9</v>
      </c>
      <c r="B8" s="7">
        <v>34</v>
      </c>
      <c r="C8" s="7">
        <v>6</v>
      </c>
      <c r="D8" s="47"/>
      <c r="E8" s="48"/>
      <c r="F8" s="49"/>
      <c r="G8" s="46"/>
      <c r="H8" s="50"/>
      <c r="I8" s="45"/>
      <c r="J8" s="22">
        <v>16</v>
      </c>
      <c r="K8" s="41"/>
      <c r="L8" s="42"/>
      <c r="M8" s="43"/>
      <c r="N8" s="11">
        <v>18</v>
      </c>
    </row>
    <row r="9" spans="1:14" x14ac:dyDescent="0.25">
      <c r="A9" s="8" t="s">
        <v>10</v>
      </c>
      <c r="B9" s="7">
        <v>0</v>
      </c>
      <c r="C9" s="7">
        <v>4</v>
      </c>
      <c r="D9" s="47"/>
      <c r="E9" s="48"/>
      <c r="F9" s="49"/>
      <c r="G9" s="46"/>
      <c r="H9" s="50"/>
      <c r="I9" s="45"/>
      <c r="J9" s="44"/>
      <c r="K9" s="41"/>
      <c r="L9" s="42"/>
      <c r="M9" s="43"/>
      <c r="N9" s="51"/>
    </row>
    <row r="10" spans="1:14" x14ac:dyDescent="0.25">
      <c r="A10" s="2" t="s">
        <v>11</v>
      </c>
      <c r="B10" s="7">
        <v>31</v>
      </c>
      <c r="C10" s="7">
        <v>21</v>
      </c>
      <c r="D10" s="21">
        <v>2</v>
      </c>
      <c r="E10" s="27">
        <v>6</v>
      </c>
      <c r="F10" s="23">
        <v>8</v>
      </c>
      <c r="G10" s="46"/>
      <c r="H10" s="24">
        <v>1</v>
      </c>
      <c r="I10" s="45"/>
      <c r="J10" s="22">
        <v>3</v>
      </c>
      <c r="K10" s="29">
        <v>2</v>
      </c>
      <c r="L10" s="42"/>
      <c r="M10" s="28">
        <v>1</v>
      </c>
      <c r="N10" s="11">
        <v>8</v>
      </c>
    </row>
    <row r="11" spans="1:14" x14ac:dyDescent="0.25">
      <c r="A11" s="8" t="s">
        <v>12</v>
      </c>
      <c r="B11" s="7">
        <v>319</v>
      </c>
      <c r="C11" s="7">
        <v>61</v>
      </c>
      <c r="D11" s="21">
        <v>91</v>
      </c>
      <c r="E11" s="27">
        <v>166</v>
      </c>
      <c r="F11" s="23">
        <v>21</v>
      </c>
      <c r="G11" s="26">
        <v>14</v>
      </c>
      <c r="H11" s="24">
        <v>23</v>
      </c>
      <c r="I11" s="25">
        <v>2</v>
      </c>
      <c r="J11" s="22">
        <v>2</v>
      </c>
      <c r="K11" s="41"/>
      <c r="L11" s="42"/>
      <c r="M11" s="43"/>
      <c r="N11" s="51"/>
    </row>
    <row r="12" spans="1:14" x14ac:dyDescent="0.25">
      <c r="A12" s="2" t="s">
        <v>13</v>
      </c>
      <c r="B12" s="7">
        <v>66</v>
      </c>
      <c r="C12" s="7">
        <v>34</v>
      </c>
      <c r="D12" s="21">
        <v>12</v>
      </c>
      <c r="E12" s="27">
        <v>31</v>
      </c>
      <c r="F12" s="23">
        <v>4</v>
      </c>
      <c r="G12" s="26">
        <v>2</v>
      </c>
      <c r="H12" s="24">
        <v>4</v>
      </c>
      <c r="I12" s="25">
        <v>2</v>
      </c>
      <c r="J12" s="22">
        <v>5</v>
      </c>
      <c r="K12" s="41"/>
      <c r="L12" s="42"/>
      <c r="M12" s="28">
        <v>5</v>
      </c>
      <c r="N12" s="11">
        <v>1</v>
      </c>
    </row>
    <row r="13" spans="1:14" x14ac:dyDescent="0.25">
      <c r="A13" s="8" t="s">
        <v>14</v>
      </c>
      <c r="B13" s="7">
        <v>0</v>
      </c>
      <c r="C13" s="7">
        <v>3</v>
      </c>
      <c r="D13" s="47"/>
      <c r="E13" s="48"/>
      <c r="F13" s="49"/>
      <c r="G13" s="46"/>
      <c r="H13" s="50"/>
      <c r="I13" s="45"/>
      <c r="J13" s="44"/>
      <c r="K13" s="41"/>
      <c r="L13" s="42"/>
      <c r="M13" s="43"/>
      <c r="N13" s="51"/>
    </row>
    <row r="14" spans="1:14" x14ac:dyDescent="0.25">
      <c r="A14" s="2" t="s">
        <v>15</v>
      </c>
      <c r="B14" s="7">
        <v>141</v>
      </c>
      <c r="C14" s="7">
        <v>51</v>
      </c>
      <c r="D14" s="21">
        <v>35</v>
      </c>
      <c r="E14" s="27">
        <v>58</v>
      </c>
      <c r="F14" s="23">
        <v>18</v>
      </c>
      <c r="G14" s="26">
        <v>16</v>
      </c>
      <c r="H14" s="24">
        <v>9</v>
      </c>
      <c r="I14" s="25">
        <v>1</v>
      </c>
      <c r="J14" s="22">
        <v>1</v>
      </c>
      <c r="K14" s="41"/>
      <c r="L14" s="42"/>
      <c r="M14" s="28">
        <v>1</v>
      </c>
      <c r="N14" s="11">
        <v>2</v>
      </c>
    </row>
  </sheetData>
  <autoFilter ref="A2:N14" xr:uid="{00000000-0009-0000-0000-000002000000}"/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7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3" customWidth="1"/>
    <col min="3" max="3" width="20" customWidth="1"/>
    <col min="4" max="4" width="48" customWidth="1"/>
    <col min="5" max="5" width="8" customWidth="1"/>
    <col min="6" max="6" width="30" customWidth="1"/>
    <col min="7" max="7" width="20" customWidth="1"/>
  </cols>
  <sheetData>
    <row r="1" spans="1:7" ht="27.95" customHeight="1" x14ac:dyDescent="0.25">
      <c r="A1" s="1" t="s">
        <v>472</v>
      </c>
      <c r="B1" s="1" t="s">
        <v>2</v>
      </c>
      <c r="C1" s="1" t="s">
        <v>0</v>
      </c>
      <c r="D1" s="1" t="s">
        <v>1</v>
      </c>
      <c r="E1" s="1" t="s">
        <v>473</v>
      </c>
      <c r="F1" s="1" t="s">
        <v>474</v>
      </c>
      <c r="G1" s="1" t="s">
        <v>3</v>
      </c>
    </row>
    <row r="2" spans="1:7" x14ac:dyDescent="0.25">
      <c r="A2" s="2" t="s">
        <v>4</v>
      </c>
      <c r="B2" s="21" t="str">
        <f>IFERROR(VLOOKUP(C2,'Master Component List'!A:C,3,FALSE),"Other")</f>
        <v>Capacitor</v>
      </c>
      <c r="C2" s="3" t="s">
        <v>37</v>
      </c>
      <c r="D2" s="3" t="str">
        <f>IFERROR(VLOOKUP(C2,'Master Component List'!A:B,2,FALSE),"")</f>
        <v>10uF 50V X7R 1206</v>
      </c>
      <c r="E2" s="6">
        <v>4</v>
      </c>
      <c r="F2" s="3" t="s">
        <v>475</v>
      </c>
      <c r="G2" s="3" t="s">
        <v>38</v>
      </c>
    </row>
    <row r="3" spans="1:7" x14ac:dyDescent="0.25">
      <c r="A3" s="8" t="s">
        <v>4</v>
      </c>
      <c r="B3" s="22" t="str">
        <f>IFERROR(VLOOKUP(C3,'Master Component List'!A:C,3,FALSE),"Other")</f>
        <v>Connector</v>
      </c>
      <c r="C3" s="9" t="s">
        <v>113</v>
      </c>
      <c r="D3" s="9" t="str">
        <f>IFERROR(VLOOKUP(C3,'Master Component List'!A:B,2,FALSE),"")</f>
        <v>Jumper 2Way Vert Pins</v>
      </c>
      <c r="E3" s="11">
        <v>1</v>
      </c>
      <c r="F3" s="9" t="s">
        <v>476</v>
      </c>
      <c r="G3" s="9" t="s">
        <v>114</v>
      </c>
    </row>
    <row r="4" spans="1:7" x14ac:dyDescent="0.25">
      <c r="A4" s="2" t="s">
        <v>4</v>
      </c>
      <c r="B4" s="23" t="str">
        <f>IFERROR(VLOOKUP(C4,'Master Component List'!A:C,3,FALSE),"Other")</f>
        <v>Diode</v>
      </c>
      <c r="C4" s="3" t="s">
        <v>141</v>
      </c>
      <c r="D4" s="3" t="str">
        <f>IFERROR(VLOOKUP(C4,'Master Component List'!A:B,2,FALSE),"")</f>
        <v>Rectifier Diode, Schottky, 1 Phase, 1 Element, 4.2A, 60V V(RRM), Silicon</v>
      </c>
      <c r="E4" s="6">
        <v>4</v>
      </c>
      <c r="F4" s="3" t="s">
        <v>477</v>
      </c>
      <c r="G4" s="3" t="s">
        <v>141</v>
      </c>
    </row>
    <row r="5" spans="1:7" x14ac:dyDescent="0.25">
      <c r="A5" s="8" t="s">
        <v>4</v>
      </c>
      <c r="B5" s="24" t="str">
        <f>IFERROR(VLOOKUP(C5,'Master Component List'!A:C,3,FALSE),"Other")</f>
        <v>IC</v>
      </c>
      <c r="C5" s="9" t="s">
        <v>158</v>
      </c>
      <c r="D5" s="9" t="str">
        <f>IFERROR(VLOOKUP(C5,'Master Component List'!A:B,2,FALSE),"")</f>
        <v>LED Driver IC 1 Output DC DC Regulator Step-Down (Buck) Analog, PWM Dimming 1.5A 8-MSOP-EP</v>
      </c>
      <c r="E5" s="11">
        <v>2</v>
      </c>
      <c r="F5" s="9" t="s">
        <v>478</v>
      </c>
      <c r="G5" s="9" t="s">
        <v>158</v>
      </c>
    </row>
    <row r="6" spans="1:7" x14ac:dyDescent="0.25">
      <c r="A6" s="2" t="s">
        <v>4</v>
      </c>
      <c r="B6" s="25" t="str">
        <f>IFERROR(VLOOKUP(C6,'Master Component List'!A:C,3,FALSE),"Other")</f>
        <v>Other</v>
      </c>
      <c r="C6" s="3" t="s">
        <v>479</v>
      </c>
      <c r="D6" s="3" t="str">
        <f>IFERROR(VLOOKUP(C6,'Master Component List'!A:B,2,FALSE),"")</f>
        <v/>
      </c>
      <c r="E6" s="6">
        <v>1</v>
      </c>
      <c r="F6" s="3" t="s">
        <v>480</v>
      </c>
      <c r="G6" s="3"/>
    </row>
    <row r="7" spans="1:7" x14ac:dyDescent="0.25">
      <c r="A7" s="8" t="s">
        <v>4</v>
      </c>
      <c r="B7" s="25" t="str">
        <f>IFERROR(VLOOKUP(C7,'Master Component List'!A:C,3,FALSE),"Other")</f>
        <v>Inductor</v>
      </c>
      <c r="C7" s="9" t="s">
        <v>220</v>
      </c>
      <c r="D7" s="9" t="str">
        <f>IFERROR(VLOOKUP(C7,'Master Component List'!A:B,2,FALSE),"")</f>
        <v>Inductor Power Semi-Shielded Wirewound 47uH 20% 100KHz 13Q-Factor Ferrite 1.1A 257mOhm DCR T/R</v>
      </c>
      <c r="E7" s="11">
        <v>2</v>
      </c>
      <c r="F7" s="9" t="s">
        <v>481</v>
      </c>
      <c r="G7" s="9" t="s">
        <v>220</v>
      </c>
    </row>
    <row r="8" spans="1:7" x14ac:dyDescent="0.25">
      <c r="A8" s="2" t="s">
        <v>4</v>
      </c>
      <c r="B8" s="26" t="str">
        <f>IFERROR(VLOOKUP(C8,'Master Component List'!A:C,3,FALSE),"Other")</f>
        <v>LED</v>
      </c>
      <c r="C8" s="3" t="s">
        <v>240</v>
      </c>
      <c r="D8" s="3" t="str">
        <f>IFERROR(VLOOKUP(C8,'Master Component List'!A:B,2,FALSE),"")</f>
        <v>LED, HB, RED, 73.9LM; Series: XLamp XP-E2; LED Color: Red; Luminous Intensity @ Test: -; Luminous Flux @ Test:...</v>
      </c>
      <c r="E8" s="6">
        <v>6</v>
      </c>
      <c r="F8" s="3" t="s">
        <v>482</v>
      </c>
      <c r="G8" s="3" t="s">
        <v>242</v>
      </c>
    </row>
    <row r="9" spans="1:7" x14ac:dyDescent="0.25">
      <c r="A9" s="8" t="s">
        <v>4</v>
      </c>
      <c r="B9" s="11" t="str">
        <f>IFERROR(VLOOKUP(C9,'Master Component List'!A:C,3,FALSE),"Other")</f>
        <v>Other</v>
      </c>
      <c r="C9" s="9" t="s">
        <v>247</v>
      </c>
      <c r="D9" s="9" t="str">
        <f>IFERROR(VLOOKUP(C9,'Master Component List'!A:B,2,FALSE),"")</f>
        <v>WR-MPC3 Single Row Right Angled Header with Plastic Pegs, THT, pitch 3mm, 3pins</v>
      </c>
      <c r="E9" s="11">
        <v>1</v>
      </c>
      <c r="F9" s="9" t="s">
        <v>483</v>
      </c>
      <c r="G9" s="9" t="s">
        <v>247</v>
      </c>
    </row>
    <row r="10" spans="1:7" x14ac:dyDescent="0.25">
      <c r="A10" s="2" t="s">
        <v>4</v>
      </c>
      <c r="B10" s="11" t="str">
        <f>IFERROR(VLOOKUP(C10,'Master Component List'!A:C,3,FALSE),"Other")</f>
        <v>Other</v>
      </c>
      <c r="C10" s="3" t="s">
        <v>269</v>
      </c>
      <c r="D10" s="3" t="str">
        <f>IFERROR(VLOOKUP(C10,'Master Component List'!A:B,2,FALSE),"")</f>
        <v>WA-SMSR SMT Steel Spacer Reverse with through hole 3.2mm, Length 3.6mm</v>
      </c>
      <c r="E10" s="6">
        <v>4</v>
      </c>
      <c r="F10" s="3" t="s">
        <v>484</v>
      </c>
      <c r="G10" s="3" t="s">
        <v>271</v>
      </c>
    </row>
    <row r="11" spans="1:7" x14ac:dyDescent="0.25">
      <c r="A11" s="8" t="s">
        <v>4</v>
      </c>
      <c r="B11" s="27" t="str">
        <f>IFERROR(VLOOKUP(C11,'Master Component List'!A:C,3,FALSE),"Other")</f>
        <v>Resistor</v>
      </c>
      <c r="C11" s="9" t="s">
        <v>283</v>
      </c>
      <c r="D11" s="9" t="str">
        <f>IFERROR(VLOOKUP(C11,'Master Component List'!A:B,2,FALSE),"")</f>
        <v>0R3 300mOhm 300mΩ 1% 1206 500mW</v>
      </c>
      <c r="E11" s="11">
        <v>2</v>
      </c>
      <c r="F11" s="9" t="s">
        <v>485</v>
      </c>
      <c r="G11" s="9" t="s">
        <v>285</v>
      </c>
    </row>
    <row r="12" spans="1:7" x14ac:dyDescent="0.25">
      <c r="A12" s="2" t="s">
        <v>5</v>
      </c>
      <c r="B12" s="21" t="str">
        <f>IFERROR(VLOOKUP(C12,'Master Component List'!A:C,3,FALSE),"Other")</f>
        <v>Capacitor</v>
      </c>
      <c r="C12" s="3" t="s">
        <v>18</v>
      </c>
      <c r="D12" s="3" t="str">
        <f>IFERROR(VLOOKUP(C12,'Master Component List'!A:B,2,FALSE),"")</f>
        <v>100n 50V X7R 0402</v>
      </c>
      <c r="E12" s="6">
        <v>12</v>
      </c>
      <c r="F12" s="3" t="s">
        <v>486</v>
      </c>
      <c r="G12" s="3" t="s">
        <v>20</v>
      </c>
    </row>
    <row r="13" spans="1:7" x14ac:dyDescent="0.25">
      <c r="A13" s="8" t="s">
        <v>5</v>
      </c>
      <c r="B13" s="21" t="str">
        <f>IFERROR(VLOOKUP(C13,'Master Component List'!A:C,3,FALSE),"Other")</f>
        <v>Capacitor</v>
      </c>
      <c r="C13" s="9" t="s">
        <v>24</v>
      </c>
      <c r="D13" s="9" t="str">
        <f>IFERROR(VLOOKUP(C13,'Master Component List'!A:B,2,FALSE),"")</f>
        <v>100nF 50V X7R 0603</v>
      </c>
      <c r="E13" s="11">
        <v>20</v>
      </c>
      <c r="F13" s="9" t="s">
        <v>487</v>
      </c>
      <c r="G13" s="9" t="s">
        <v>25</v>
      </c>
    </row>
    <row r="14" spans="1:7" x14ac:dyDescent="0.25">
      <c r="A14" s="2" t="s">
        <v>5</v>
      </c>
      <c r="B14" s="21" t="str">
        <f>IFERROR(VLOOKUP(C14,'Master Component List'!A:C,3,FALSE),"Other")</f>
        <v>Capacitor</v>
      </c>
      <c r="C14" s="3" t="s">
        <v>28</v>
      </c>
      <c r="D14" s="3" t="str">
        <f>IFERROR(VLOOKUP(C14,'Master Component List'!A:B,2,FALSE),"")</f>
        <v>10n 50V X7R 0402</v>
      </c>
      <c r="E14" s="6">
        <v>2</v>
      </c>
      <c r="F14" s="3" t="s">
        <v>488</v>
      </c>
      <c r="G14" s="3" t="s">
        <v>29</v>
      </c>
    </row>
    <row r="15" spans="1:7" x14ac:dyDescent="0.25">
      <c r="A15" s="8" t="s">
        <v>5</v>
      </c>
      <c r="B15" s="21" t="str">
        <f>IFERROR(VLOOKUP(C15,'Master Component List'!A:C,3,FALSE),"Other")</f>
        <v>Capacitor</v>
      </c>
      <c r="C15" s="9" t="s">
        <v>33</v>
      </c>
      <c r="D15" s="9" t="str">
        <f>IFERROR(VLOOKUP(C15,'Master Component List'!A:B,2,FALSE),"")</f>
        <v>10nF 50V X7R 0603</v>
      </c>
      <c r="E15" s="11">
        <v>2</v>
      </c>
      <c r="F15" s="9" t="s">
        <v>489</v>
      </c>
      <c r="G15" s="9" t="s">
        <v>34</v>
      </c>
    </row>
    <row r="16" spans="1:7" x14ac:dyDescent="0.25">
      <c r="A16" s="2" t="s">
        <v>5</v>
      </c>
      <c r="B16" s="21" t="str">
        <f>IFERROR(VLOOKUP(C16,'Master Component List'!A:C,3,FALSE),"Other")</f>
        <v>Capacitor</v>
      </c>
      <c r="C16" s="3" t="s">
        <v>35</v>
      </c>
      <c r="D16" s="3" t="str">
        <f>IFERROR(VLOOKUP(C16,'Master Component List'!A:B,2,FALSE),"")</f>
        <v>10uF 25V X7R 0805</v>
      </c>
      <c r="E16" s="6">
        <v>2</v>
      </c>
      <c r="F16" s="3" t="s">
        <v>490</v>
      </c>
      <c r="G16" s="3" t="s">
        <v>36</v>
      </c>
    </row>
    <row r="17" spans="1:7" x14ac:dyDescent="0.25">
      <c r="A17" s="8" t="s">
        <v>5</v>
      </c>
      <c r="B17" s="21" t="str">
        <f>IFERROR(VLOOKUP(C17,'Master Component List'!A:C,3,FALSE),"Other")</f>
        <v>Capacitor</v>
      </c>
      <c r="C17" s="9" t="s">
        <v>37</v>
      </c>
      <c r="D17" s="9" t="str">
        <f>IFERROR(VLOOKUP(C17,'Master Component List'!A:B,2,FALSE),"")</f>
        <v>10uF 50V X7R 1206</v>
      </c>
      <c r="E17" s="11">
        <v>6</v>
      </c>
      <c r="F17" s="9" t="s">
        <v>491</v>
      </c>
      <c r="G17" s="9" t="s">
        <v>38</v>
      </c>
    </row>
    <row r="18" spans="1:7" x14ac:dyDescent="0.25">
      <c r="A18" s="2" t="s">
        <v>5</v>
      </c>
      <c r="B18" s="21" t="str">
        <f>IFERROR(VLOOKUP(C18,'Master Component List'!A:C,3,FALSE),"Other")</f>
        <v>Capacitor</v>
      </c>
      <c r="C18" s="3" t="s">
        <v>39</v>
      </c>
      <c r="D18" s="3" t="str">
        <f>IFERROR(VLOOKUP(C18,'Master Component List'!A:B,2,FALSE),"")</f>
        <v>1u 25V X6S 0402</v>
      </c>
      <c r="E18" s="6">
        <v>2</v>
      </c>
      <c r="F18" s="3" t="s">
        <v>492</v>
      </c>
      <c r="G18" s="3" t="s">
        <v>40</v>
      </c>
    </row>
    <row r="19" spans="1:7" x14ac:dyDescent="0.25">
      <c r="A19" s="8" t="s">
        <v>5</v>
      </c>
      <c r="B19" s="21" t="str">
        <f>IFERROR(VLOOKUP(C19,'Master Component List'!A:C,3,FALSE),"Other")</f>
        <v>Capacitor</v>
      </c>
      <c r="C19" s="9" t="s">
        <v>41</v>
      </c>
      <c r="D19" s="9" t="str">
        <f>IFERROR(VLOOKUP(C19,'Master Component List'!A:B,2,FALSE),"")</f>
        <v>1uF 25V X7R 0603 10%</v>
      </c>
      <c r="E19" s="11">
        <v>2</v>
      </c>
      <c r="F19" s="9" t="s">
        <v>493</v>
      </c>
      <c r="G19" s="9" t="s">
        <v>43</v>
      </c>
    </row>
    <row r="20" spans="1:7" x14ac:dyDescent="0.25">
      <c r="A20" s="2" t="s">
        <v>5</v>
      </c>
      <c r="B20" s="21" t="str">
        <f>IFERROR(VLOOKUP(C20,'Master Component List'!A:C,3,FALSE),"Other")</f>
        <v>Capacitor</v>
      </c>
      <c r="C20" s="3" t="s">
        <v>48</v>
      </c>
      <c r="D20" s="3" t="str">
        <f>IFERROR(VLOOKUP(C20,'Master Component List'!A:B,2,FALSE),"")</f>
        <v>Ceramic Capacitor, Multilayer, Ceramic, 50V, 10% +Tol, 10% -Tol, X7R, 15% TC, 0.00022uF, Surface Mount, 0603</v>
      </c>
      <c r="E20" s="6">
        <v>3</v>
      </c>
      <c r="F20" s="3" t="s">
        <v>494</v>
      </c>
      <c r="G20" s="3" t="s">
        <v>50</v>
      </c>
    </row>
    <row r="21" spans="1:7" x14ac:dyDescent="0.25">
      <c r="A21" s="8" t="s">
        <v>5</v>
      </c>
      <c r="B21" s="21" t="str">
        <f>IFERROR(VLOOKUP(C21,'Master Component List'!A:C,3,FALSE),"Other")</f>
        <v>Capacitor</v>
      </c>
      <c r="C21" s="9" t="s">
        <v>51</v>
      </c>
      <c r="D21" s="9" t="str">
        <f>IFERROR(VLOOKUP(C21,'Master Component List'!A:B,2,FALSE),"")</f>
        <v>22pF 16V COG 0603</v>
      </c>
      <c r="E21" s="11">
        <v>4</v>
      </c>
      <c r="F21" s="9" t="s">
        <v>495</v>
      </c>
      <c r="G21" s="9" t="s">
        <v>52</v>
      </c>
    </row>
    <row r="22" spans="1:7" x14ac:dyDescent="0.25">
      <c r="A22" s="2" t="s">
        <v>5</v>
      </c>
      <c r="B22" s="21" t="str">
        <f>IFERROR(VLOOKUP(C22,'Master Component List'!A:C,3,FALSE),"Other")</f>
        <v>Capacitor</v>
      </c>
      <c r="C22" s="3" t="s">
        <v>59</v>
      </c>
      <c r="D22" s="3" t="str">
        <f>IFERROR(VLOOKUP(C22,'Master Component List'!A:B,2,FALSE),"")</f>
        <v>2u2 100V X7R 1210</v>
      </c>
      <c r="E22" s="6">
        <v>2</v>
      </c>
      <c r="F22" s="3" t="s">
        <v>496</v>
      </c>
      <c r="G22" s="3" t="s">
        <v>60</v>
      </c>
    </row>
    <row r="23" spans="1:7" x14ac:dyDescent="0.25">
      <c r="A23" s="8" t="s">
        <v>5</v>
      </c>
      <c r="B23" s="21" t="str">
        <f>IFERROR(VLOOKUP(C23,'Master Component List'!A:C,3,FALSE),"Other")</f>
        <v>Capacitor</v>
      </c>
      <c r="C23" s="9" t="s">
        <v>61</v>
      </c>
      <c r="D23" s="9" t="str">
        <f>IFERROR(VLOOKUP(C23,'Master Component List'!A:B,2,FALSE),"")</f>
        <v>2u2 25V X6S 0603</v>
      </c>
      <c r="E23" s="11">
        <v>3</v>
      </c>
      <c r="F23" s="9" t="s">
        <v>497</v>
      </c>
      <c r="G23" s="9" t="s">
        <v>62</v>
      </c>
    </row>
    <row r="24" spans="1:7" x14ac:dyDescent="0.25">
      <c r="A24" s="2" t="s">
        <v>5</v>
      </c>
      <c r="B24" s="21" t="str">
        <f>IFERROR(VLOOKUP(C24,'Master Component List'!A:C,3,FALSE),"Other")</f>
        <v>Capacitor</v>
      </c>
      <c r="C24" s="3" t="s">
        <v>65</v>
      </c>
      <c r="D24" s="3" t="str">
        <f>IFERROR(VLOOKUP(C24,'Master Component List'!A:B,2,FALSE),"")</f>
        <v>Capacitor, Ceramic, SMD, 470nF, 50V, 5%, X5R, 0603</v>
      </c>
      <c r="E24" s="6">
        <v>1</v>
      </c>
      <c r="F24" s="3" t="s">
        <v>498</v>
      </c>
      <c r="G24" s="3" t="s">
        <v>67</v>
      </c>
    </row>
    <row r="25" spans="1:7" x14ac:dyDescent="0.25">
      <c r="A25" s="8" t="s">
        <v>5</v>
      </c>
      <c r="B25" s="21" t="str">
        <f>IFERROR(VLOOKUP(C25,'Master Component List'!A:C,3,FALSE),"Other")</f>
        <v>Capacitor</v>
      </c>
      <c r="C25" s="9" t="s">
        <v>73</v>
      </c>
      <c r="D25" s="9" t="str">
        <f>IFERROR(VLOOKUP(C25,'Master Component List'!A:B,2,FALSE),"")</f>
        <v>4u7 16 V X7R 0603</v>
      </c>
      <c r="E25" s="11">
        <v>2</v>
      </c>
      <c r="F25" s="9" t="s">
        <v>499</v>
      </c>
      <c r="G25" s="9" t="s">
        <v>74</v>
      </c>
    </row>
    <row r="26" spans="1:7" x14ac:dyDescent="0.25">
      <c r="A26" s="2" t="s">
        <v>5</v>
      </c>
      <c r="B26" s="21" t="str">
        <f>IFERROR(VLOOKUP(C26,'Master Component List'!A:C,3,FALSE),"Other")</f>
        <v>Capacitor</v>
      </c>
      <c r="C26" s="3" t="s">
        <v>75</v>
      </c>
      <c r="D26" s="3" t="str">
        <f>IFERROR(VLOOKUP(C26,'Master Component List'!A:B,2,FALSE),"")</f>
        <v>4u7 25V X5R 0603</v>
      </c>
      <c r="E26" s="6">
        <v>2</v>
      </c>
      <c r="F26" s="3" t="s">
        <v>500</v>
      </c>
      <c r="G26" s="3" t="s">
        <v>76</v>
      </c>
    </row>
    <row r="27" spans="1:7" x14ac:dyDescent="0.25">
      <c r="A27" s="8" t="s">
        <v>5</v>
      </c>
      <c r="B27" s="21" t="str">
        <f>IFERROR(VLOOKUP(C27,'Master Component List'!A:C,3,FALSE),"Other")</f>
        <v>Capacitor</v>
      </c>
      <c r="C27" s="9" t="s">
        <v>77</v>
      </c>
      <c r="D27" s="9" t="str">
        <f>IFERROR(VLOOKUP(C27,'Master Component List'!A:B,2,FALSE),"")</f>
        <v>Capacitor, Ceramic, SMD, 4u7, 50V, 5%, X7R, 0603</v>
      </c>
      <c r="E27" s="11">
        <v>1</v>
      </c>
      <c r="F27" s="9" t="s">
        <v>501</v>
      </c>
      <c r="G27" s="9" t="s">
        <v>79</v>
      </c>
    </row>
    <row r="28" spans="1:7" x14ac:dyDescent="0.25">
      <c r="A28" s="2" t="s">
        <v>5</v>
      </c>
      <c r="B28" s="21" t="str">
        <f>IFERROR(VLOOKUP(C28,'Master Component List'!A:C,3,FALSE),"Other")</f>
        <v>Capacitor</v>
      </c>
      <c r="C28" s="3" t="s">
        <v>81</v>
      </c>
      <c r="D28" s="3" t="str">
        <f>IFERROR(VLOOKUP(C28,'Master Component List'!A:B,2,FALSE),"")</f>
        <v>6n8 16V COG 0805</v>
      </c>
      <c r="E28" s="6">
        <v>2</v>
      </c>
      <c r="F28" s="3" t="s">
        <v>502</v>
      </c>
      <c r="G28" s="3" t="s">
        <v>82</v>
      </c>
    </row>
    <row r="29" spans="1:7" x14ac:dyDescent="0.25">
      <c r="A29" s="8" t="s">
        <v>5</v>
      </c>
      <c r="B29" s="21" t="str">
        <f>IFERROR(VLOOKUP(C29,'Master Component List'!A:C,3,FALSE),"Other")</f>
        <v>Capacitor</v>
      </c>
      <c r="C29" s="9" t="s">
        <v>84</v>
      </c>
      <c r="D29" s="9" t="str">
        <f>IFERROR(VLOOKUP(C29,'Master Component List'!A:B,2,FALSE),"")</f>
        <v>Aluminum Electrolytic Capacitor, Aluminum (wet)</v>
      </c>
      <c r="E29" s="11">
        <v>3</v>
      </c>
      <c r="F29" s="9" t="s">
        <v>503</v>
      </c>
      <c r="G29" s="9" t="s">
        <v>84</v>
      </c>
    </row>
    <row r="30" spans="1:7" x14ac:dyDescent="0.25">
      <c r="A30" s="2" t="s">
        <v>5</v>
      </c>
      <c r="B30" s="22" t="str">
        <f>IFERROR(VLOOKUP(C30,'Master Component List'!A:C,3,FALSE),"Other")</f>
        <v>Connector</v>
      </c>
      <c r="C30" s="3" t="s">
        <v>97</v>
      </c>
      <c r="D30" s="3" t="str">
        <f>IFERROR(VLOOKUP(C30,'Master Component List'!A:B,2,FALSE),"")</f>
        <v>CONN HEADER VERT 14POS 1.27MM</v>
      </c>
      <c r="E30" s="6">
        <v>1</v>
      </c>
      <c r="F30" s="3" t="s">
        <v>476</v>
      </c>
      <c r="G30" s="3" t="s">
        <v>97</v>
      </c>
    </row>
    <row r="31" spans="1:7" x14ac:dyDescent="0.25">
      <c r="A31" s="8" t="s">
        <v>5</v>
      </c>
      <c r="B31" s="22" t="str">
        <f>IFERROR(VLOOKUP(C31,'Master Component List'!A:C,3,FALSE),"Other")</f>
        <v>Connector</v>
      </c>
      <c r="C31" s="9" t="s">
        <v>102</v>
      </c>
      <c r="D31" s="9" t="str">
        <f>IFERROR(VLOOKUP(C31,'Master Component List'!A:B,2,FALSE),"")</f>
        <v>WR-MPC3 Dual Row Right Angled Header with Plastic Pegs, THT, pitch 3mm, 4pins</v>
      </c>
      <c r="E31" s="11">
        <v>5</v>
      </c>
      <c r="F31" s="9" t="s">
        <v>504</v>
      </c>
      <c r="G31" s="9" t="s">
        <v>104</v>
      </c>
    </row>
    <row r="32" spans="1:7" x14ac:dyDescent="0.25">
      <c r="A32" s="2" t="s">
        <v>5</v>
      </c>
      <c r="B32" s="23" t="str">
        <f>IFERROR(VLOOKUP(C32,'Master Component List'!A:C,3,FALSE),"Other")</f>
        <v>Diode</v>
      </c>
      <c r="C32" s="3" t="s">
        <v>115</v>
      </c>
      <c r="D32" s="3" t="str">
        <f>IFERROR(VLOOKUP(C32,'Master Component List'!A:B,2,FALSE),"")</f>
        <v>Diode, SMD, 75V, 5%, 250mA, SOD123</v>
      </c>
      <c r="E32" s="6">
        <v>5</v>
      </c>
      <c r="F32" s="3" t="s">
        <v>505</v>
      </c>
      <c r="G32" s="3" t="s">
        <v>115</v>
      </c>
    </row>
    <row r="33" spans="1:7" x14ac:dyDescent="0.25">
      <c r="A33" s="8" t="s">
        <v>5</v>
      </c>
      <c r="B33" s="23" t="str">
        <f>IFERROR(VLOOKUP(C33,'Master Component List'!A:C,3,FALSE),"Other")</f>
        <v>Diode</v>
      </c>
      <c r="C33" s="9" t="s">
        <v>131</v>
      </c>
      <c r="D33" s="9" t="str">
        <f>IFERROR(VLOOKUP(C33,'Master Component List'!A:B,2,FALSE),"")</f>
        <v>Rectifier Diode, Schottky, 1 Phase, 1 Element, 0.5A, 40V V(RRM), Silicon</v>
      </c>
      <c r="E33" s="11">
        <v>5</v>
      </c>
      <c r="F33" s="9" t="s">
        <v>506</v>
      </c>
      <c r="G33" s="9" t="s">
        <v>131</v>
      </c>
    </row>
    <row r="34" spans="1:7" x14ac:dyDescent="0.25">
      <c r="A34" s="2" t="s">
        <v>5</v>
      </c>
      <c r="B34" s="23" t="str">
        <f>IFERROR(VLOOKUP(C34,'Master Component List'!A:C,3,FALSE),"Other")</f>
        <v>Diode</v>
      </c>
      <c r="C34" s="3" t="s">
        <v>133</v>
      </c>
      <c r="D34" s="3" t="str">
        <f>IFERROR(VLOOKUP(C34,'Master Component List'!A:B,2,FALSE),"")</f>
        <v>Zener Diode, 3.6V V(Z), 2%, 0.2W, Silicon, Unidirectional</v>
      </c>
      <c r="E34" s="6">
        <v>4</v>
      </c>
      <c r="F34" s="3" t="s">
        <v>507</v>
      </c>
      <c r="G34" s="3" t="s">
        <v>133</v>
      </c>
    </row>
    <row r="35" spans="1:7" x14ac:dyDescent="0.25">
      <c r="A35" s="8" t="s">
        <v>5</v>
      </c>
      <c r="B35" s="23" t="str">
        <f>IFERROR(VLOOKUP(C35,'Master Component List'!A:C,3,FALSE),"Other")</f>
        <v>Diode</v>
      </c>
      <c r="C35" s="9" t="s">
        <v>139</v>
      </c>
      <c r="D35" s="9" t="str">
        <f>IFERROR(VLOOKUP(C35,'Master Component List'!A:B,2,FALSE),"")</f>
        <v>Trans Voltage Suppressor Diode, 350W, 24V V(RWM), Bidirectional, 2 Element, Silicon, TO-236AB</v>
      </c>
      <c r="E35" s="11">
        <v>2</v>
      </c>
      <c r="F35" s="9" t="s">
        <v>508</v>
      </c>
      <c r="G35" s="9" t="s">
        <v>139</v>
      </c>
    </row>
    <row r="36" spans="1:7" x14ac:dyDescent="0.25">
      <c r="A36" s="2" t="s">
        <v>5</v>
      </c>
      <c r="B36" s="23" t="str">
        <f>IFERROR(VLOOKUP(C36,'Master Component List'!A:C,3,FALSE),"Other")</f>
        <v>Diode</v>
      </c>
      <c r="C36" s="3" t="s">
        <v>141</v>
      </c>
      <c r="D36" s="3" t="str">
        <f>IFERROR(VLOOKUP(C36,'Master Component List'!A:B,2,FALSE),"")</f>
        <v>Rectifier Diode, Schottky, 1 Phase, 1 Element, 4.2A, 60V V(RRM), Silicon</v>
      </c>
      <c r="E36" s="6">
        <v>1</v>
      </c>
      <c r="F36" s="3" t="s">
        <v>509</v>
      </c>
      <c r="G36" s="3" t="s">
        <v>141</v>
      </c>
    </row>
    <row r="37" spans="1:7" x14ac:dyDescent="0.25">
      <c r="A37" s="8" t="s">
        <v>5</v>
      </c>
      <c r="B37" s="23" t="str">
        <f>IFERROR(VLOOKUP(C37,'Master Component List'!A:C,3,FALSE),"Other")</f>
        <v>Diode</v>
      </c>
      <c r="C37" s="9" t="s">
        <v>145</v>
      </c>
      <c r="D37" s="9" t="str">
        <f>IFERROR(VLOOKUP(C37,'Master Component List'!A:B,2,FALSE),"")</f>
        <v>Zener Diode 12V 1W ±5% Surface Mount SMA</v>
      </c>
      <c r="E37" s="11">
        <v>4</v>
      </c>
      <c r="F37" s="9" t="s">
        <v>510</v>
      </c>
      <c r="G37" s="9" t="s">
        <v>145</v>
      </c>
    </row>
    <row r="38" spans="1:7" x14ac:dyDescent="0.25">
      <c r="A38" s="2" t="s">
        <v>5</v>
      </c>
      <c r="B38" s="23" t="str">
        <f>IFERROR(VLOOKUP(C38,'Master Component List'!A:C,3,FALSE),"Other")</f>
        <v>Diode</v>
      </c>
      <c r="C38" s="3" t="s">
        <v>147</v>
      </c>
      <c r="D38" s="3" t="str">
        <f>IFERROR(VLOOKUP(C38,'Master Component List'!A:B,2,FALSE),"")</f>
        <v>Zener Diode 22V 1W ±5% Surface Mount SMA</v>
      </c>
      <c r="E38" s="6">
        <v>1</v>
      </c>
      <c r="F38" s="3" t="s">
        <v>511</v>
      </c>
      <c r="G38" s="3" t="s">
        <v>147</v>
      </c>
    </row>
    <row r="39" spans="1:7" x14ac:dyDescent="0.25">
      <c r="A39" s="8" t="s">
        <v>5</v>
      </c>
      <c r="B39" s="23" t="str">
        <f>IFERROR(VLOOKUP(C39,'Master Component List'!A:C,3,FALSE),"Other")</f>
        <v>Diode</v>
      </c>
      <c r="C39" s="9" t="s">
        <v>149</v>
      </c>
      <c r="D39" s="9" t="str">
        <f>IFERROR(VLOOKUP(C39,'Master Component List'!A:B,2,FALSE),"")</f>
        <v>Trans Voltage Suppressor Diode, 3000W, 28V V(RWM), Unidirectional, 1 Element, Silicon, DO-214AB</v>
      </c>
      <c r="E39" s="11">
        <v>1</v>
      </c>
      <c r="F39" s="9" t="s">
        <v>512</v>
      </c>
      <c r="G39" s="9" t="s">
        <v>149</v>
      </c>
    </row>
    <row r="40" spans="1:7" x14ac:dyDescent="0.25">
      <c r="A40" s="2" t="s">
        <v>5</v>
      </c>
      <c r="B40" s="23" t="str">
        <f>IFERROR(VLOOKUP(C40,'Master Component List'!A:C,3,FALSE),"Other")</f>
        <v>Diode</v>
      </c>
      <c r="C40" s="3" t="s">
        <v>153</v>
      </c>
      <c r="D40" s="3" t="str">
        <f>IFERROR(VLOOKUP(C40,'Master Component List'!A:B,2,FALSE),"")</f>
        <v>Trans Voltage Suppressor Diode, 5V V(RWM), Unidirectional, 1 Element, Silicon</v>
      </c>
      <c r="E40" s="6">
        <v>2</v>
      </c>
      <c r="F40" s="3" t="s">
        <v>513</v>
      </c>
      <c r="G40" s="3" t="s">
        <v>153</v>
      </c>
    </row>
    <row r="41" spans="1:7" x14ac:dyDescent="0.25">
      <c r="A41" s="8" t="s">
        <v>5</v>
      </c>
      <c r="B41" s="24" t="str">
        <f>IFERROR(VLOOKUP(C41,'Master Component List'!A:C,3,FALSE),"Other")</f>
        <v>IC</v>
      </c>
      <c r="C41" s="9" t="s">
        <v>162</v>
      </c>
      <c r="D41" s="9" t="str">
        <f>IFERROR(VLOOKUP(C41,'Master Component List'!A:B,2,FALSE),"")</f>
        <v>AT24C16D Series 16-Kbit (2K x 8) I²C-Compatible (2-Wire) Serial EEPROM-SOT-23-5</v>
      </c>
      <c r="E41" s="11">
        <v>1</v>
      </c>
      <c r="F41" s="9" t="s">
        <v>514</v>
      </c>
      <c r="G41" s="9" t="s">
        <v>162</v>
      </c>
    </row>
    <row r="42" spans="1:7" x14ac:dyDescent="0.25">
      <c r="A42" s="2" t="s">
        <v>5</v>
      </c>
      <c r="B42" s="24" t="str">
        <f>IFERROR(VLOOKUP(C42,'Master Component List'!A:C,3,FALSE),"Other")</f>
        <v>IC</v>
      </c>
      <c r="C42" s="3" t="s">
        <v>164</v>
      </c>
      <c r="D42" s="3" t="str">
        <f>IFERROR(VLOOKUP(C42,'Master Component List'!A:B,2,FALSE),"")</f>
        <v>IC INVERTER SCHMITT 1CH 5SSOP</v>
      </c>
      <c r="E42" s="6">
        <v>1</v>
      </c>
      <c r="F42" s="3" t="s">
        <v>515</v>
      </c>
      <c r="G42" s="3" t="s">
        <v>166</v>
      </c>
    </row>
    <row r="43" spans="1:7" x14ac:dyDescent="0.25">
      <c r="A43" s="8" t="s">
        <v>5</v>
      </c>
      <c r="B43" s="24" t="str">
        <f>IFERROR(VLOOKUP(C43,'Master Component List'!A:C,3,FALSE),"Other")</f>
        <v>IC</v>
      </c>
      <c r="C43" s="9" t="s">
        <v>169</v>
      </c>
      <c r="D43" s="9" t="str">
        <f>IFERROR(VLOOKUP(C43,'Master Component List'!A:B,2,FALSE),"")</f>
        <v>CMOS Output Clock Oscillator, 20MHz Nom</v>
      </c>
      <c r="E43" s="11">
        <v>1</v>
      </c>
      <c r="F43" s="9" t="s">
        <v>516</v>
      </c>
      <c r="G43" s="9" t="s">
        <v>169</v>
      </c>
    </row>
    <row r="44" spans="1:7" x14ac:dyDescent="0.25">
      <c r="A44" s="2" t="s">
        <v>5</v>
      </c>
      <c r="B44" s="24" t="str">
        <f>IFERROR(VLOOKUP(C44,'Master Component List'!A:C,3,FALSE),"Other")</f>
        <v>IC</v>
      </c>
      <c r="C44" s="3" t="s">
        <v>171</v>
      </c>
      <c r="D44" s="3" t="str">
        <f>IFERROR(VLOOKUP(C44,'Master Component List'!A:B,2,FALSE),"")</f>
        <v>Transistor Output Optocoupler, 1-Element, 5000V Isolation</v>
      </c>
      <c r="E44" s="6">
        <v>2</v>
      </c>
      <c r="F44" s="3" t="s">
        <v>517</v>
      </c>
      <c r="G44" s="3" t="s">
        <v>171</v>
      </c>
    </row>
    <row r="45" spans="1:7" x14ac:dyDescent="0.25">
      <c r="A45" s="8" t="s">
        <v>5</v>
      </c>
      <c r="B45" s="24" t="str">
        <f>IFERROR(VLOOKUP(C45,'Master Component List'!A:C,3,FALSE),"Other")</f>
        <v>IC</v>
      </c>
      <c r="C45" s="9" t="s">
        <v>176</v>
      </c>
      <c r="D45" s="9" t="str">
        <f>IFERROR(VLOOKUP(C45,'Master Component List'!A:B,2,FALSE),"")</f>
        <v>Power Supply Support Circuit</v>
      </c>
      <c r="E45" s="11">
        <v>2</v>
      </c>
      <c r="F45" s="9" t="s">
        <v>518</v>
      </c>
      <c r="G45" s="9" t="s">
        <v>178</v>
      </c>
    </row>
    <row r="46" spans="1:7" x14ac:dyDescent="0.25">
      <c r="A46" s="2" t="s">
        <v>5</v>
      </c>
      <c r="B46" s="24" t="str">
        <f>IFERROR(VLOOKUP(C46,'Master Component List'!A:C,3,FALSE),"Other")</f>
        <v>IC</v>
      </c>
      <c r="C46" s="3" t="s">
        <v>182</v>
      </c>
      <c r="D46" s="3" t="str">
        <f>IFERROR(VLOOKUP(C46,'Master Component List'!A:B,2,FALSE),"")</f>
        <v>3.2-V to 65-V industrial RPP controller with load disconnect and OVP 8-SOT-23-THIN -40 to 125</v>
      </c>
      <c r="E46" s="6">
        <v>3</v>
      </c>
      <c r="F46" s="3" t="s">
        <v>519</v>
      </c>
      <c r="G46" s="3" t="s">
        <v>182</v>
      </c>
    </row>
    <row r="47" spans="1:7" x14ac:dyDescent="0.25">
      <c r="A47" s="8" t="s">
        <v>5</v>
      </c>
      <c r="B47" s="24" t="str">
        <f>IFERROR(VLOOKUP(C47,'Master Component List'!A:C,3,FALSE),"Other")</f>
        <v>IC</v>
      </c>
      <c r="C47" s="9" t="s">
        <v>184</v>
      </c>
      <c r="D47" s="9" t="str">
        <f>IFERROR(VLOOKUP(C47,'Master Component List'!A:B,2,FALSE),"")</f>
        <v>SIMPLE SWITCHER POWER CONVERTER Buck Switching Regulator IC Positive Adjustable 0.8V 1 Output 1A SOT-23-6</v>
      </c>
      <c r="E47" s="11">
        <v>2</v>
      </c>
      <c r="F47" s="9" t="s">
        <v>520</v>
      </c>
      <c r="G47" s="9" t="s">
        <v>184</v>
      </c>
    </row>
    <row r="48" spans="1:7" x14ac:dyDescent="0.25">
      <c r="A48" s="2" t="s">
        <v>5</v>
      </c>
      <c r="B48" s="24" t="str">
        <f>IFERROR(VLOOKUP(C48,'Master Component List'!A:C,3,FALSE),"Other")</f>
        <v>IC</v>
      </c>
      <c r="C48" s="3" t="s">
        <v>188</v>
      </c>
      <c r="D48" s="3" t="str">
        <f>IFERROR(VLOOKUP(C48,'Master Component List'!A:B,2,FALSE),"")</f>
        <v>Power Supply Support Circuit, Adjustable, 1 Channel, PDSO12</v>
      </c>
      <c r="E48" s="6">
        <v>1</v>
      </c>
      <c r="F48" s="3" t="s">
        <v>521</v>
      </c>
      <c r="G48" s="3" t="s">
        <v>188</v>
      </c>
    </row>
    <row r="49" spans="1:7" x14ac:dyDescent="0.25">
      <c r="A49" s="8" t="s">
        <v>5</v>
      </c>
      <c r="B49" s="24" t="str">
        <f>IFERROR(VLOOKUP(C49,'Master Component List'!A:C,3,FALSE),"Other")</f>
        <v>IC</v>
      </c>
      <c r="C49" s="9" t="s">
        <v>190</v>
      </c>
      <c r="D49" s="9" t="str">
        <f>IFERROR(VLOOKUP(C49,'Master Component List'!A:B,2,FALSE),"")</f>
        <v>NAND Flash Memory 1Gbit Serial-SPI 3V 8-Pin WSON T/R</v>
      </c>
      <c r="E49" s="11">
        <v>1</v>
      </c>
      <c r="F49" s="9" t="s">
        <v>522</v>
      </c>
      <c r="G49" s="9" t="s">
        <v>192</v>
      </c>
    </row>
    <row r="50" spans="1:7" x14ac:dyDescent="0.25">
      <c r="A50" s="2" t="s">
        <v>5</v>
      </c>
      <c r="B50" s="24" t="str">
        <f>IFERROR(VLOOKUP(C50,'Master Component List'!A:C,3,FALSE),"Other")</f>
        <v>Other</v>
      </c>
      <c r="C50" s="3" t="s">
        <v>523</v>
      </c>
      <c r="D50" s="3" t="str">
        <f>IFERROR(VLOOKUP(C50,'Master Component List'!A:B,2,FALSE),"")</f>
        <v/>
      </c>
      <c r="E50" s="6">
        <v>1</v>
      </c>
      <c r="F50" s="3" t="s">
        <v>524</v>
      </c>
      <c r="G50" s="3"/>
    </row>
    <row r="51" spans="1:7" x14ac:dyDescent="0.25">
      <c r="A51" s="8" t="s">
        <v>5</v>
      </c>
      <c r="B51" s="24" t="str">
        <f>IFERROR(VLOOKUP(C51,'Master Component List'!A:C,3,FALSE),"Other")</f>
        <v>IC</v>
      </c>
      <c r="C51" s="9" t="s">
        <v>203</v>
      </c>
      <c r="D51" s="9" t="str">
        <f>IFERROR(VLOOKUP(C51,'Master Component List'!A:B,2,FALSE),"")</f>
        <v>Arm Cortex-M4 MCU 170 MHz with 512 Kbytes of Flash memory, Math Accelerator, HR Timer, High Analog level integration, Crypto</v>
      </c>
      <c r="E51" s="11">
        <v>1</v>
      </c>
      <c r="F51" s="9" t="s">
        <v>525</v>
      </c>
      <c r="G51" s="9" t="s">
        <v>203</v>
      </c>
    </row>
    <row r="52" spans="1:7" x14ac:dyDescent="0.25">
      <c r="A52" s="2" t="s">
        <v>5</v>
      </c>
      <c r="B52" s="24" t="str">
        <f>IFERROR(VLOOKUP(C52,'Master Component List'!A:C,3,FALSE),"Other")</f>
        <v>IC</v>
      </c>
      <c r="C52" s="3" t="s">
        <v>205</v>
      </c>
      <c r="D52" s="3" t="str">
        <f>IFERROR(VLOOKUP(C52,'Master Component List'!A:B,2,FALSE),"")</f>
        <v>Interface Circuit, PDSO8</v>
      </c>
      <c r="E52" s="6">
        <v>2</v>
      </c>
      <c r="F52" s="3" t="s">
        <v>526</v>
      </c>
      <c r="G52" s="3" t="s">
        <v>205</v>
      </c>
    </row>
    <row r="53" spans="1:7" x14ac:dyDescent="0.25">
      <c r="A53" s="8" t="s">
        <v>5</v>
      </c>
      <c r="B53" s="25" t="str">
        <f>IFERROR(VLOOKUP(C53,'Master Component List'!A:C,3,FALSE),"Other")</f>
        <v>Inductor</v>
      </c>
      <c r="C53" s="9" t="s">
        <v>211</v>
      </c>
      <c r="D53" s="9" t="str">
        <f>IFERROR(VLOOKUP(C53,'Master Component List'!A:B,2,FALSE),"")</f>
        <v>General Purpose Inductor, 8.2uH, 20%, 1 Element, Powdered  Iron-Core, SMD, 1816</v>
      </c>
      <c r="E53" s="11">
        <v>1</v>
      </c>
      <c r="F53" s="9" t="s">
        <v>527</v>
      </c>
      <c r="G53" s="9" t="s">
        <v>211</v>
      </c>
    </row>
    <row r="54" spans="1:7" x14ac:dyDescent="0.25">
      <c r="A54" s="2" t="s">
        <v>5</v>
      </c>
      <c r="B54" s="25" t="str">
        <f>IFERROR(VLOOKUP(C54,'Master Component List'!A:C,3,FALSE),"Other")</f>
        <v>Inductor</v>
      </c>
      <c r="C54" s="3" t="s">
        <v>216</v>
      </c>
      <c r="D54" s="3" t="str">
        <f>IFERROR(VLOOKUP(C54,'Master Component List'!A:B,2,FALSE),"")</f>
        <v>74438357100 General Purpose Inductor, 10uH, 20%, 1 Element, Iron Alloy-Core, SMD, 1616</v>
      </c>
      <c r="E54" s="6">
        <v>1</v>
      </c>
      <c r="F54" s="3" t="s">
        <v>528</v>
      </c>
      <c r="G54" s="3" t="s">
        <v>216</v>
      </c>
    </row>
    <row r="55" spans="1:7" x14ac:dyDescent="0.25">
      <c r="A55" s="8" t="s">
        <v>5</v>
      </c>
      <c r="B55" s="26" t="str">
        <f>IFERROR(VLOOKUP(C55,'Master Component List'!A:C,3,FALSE),"Other")</f>
        <v>LED</v>
      </c>
      <c r="C55" s="9" t="s">
        <v>225</v>
      </c>
      <c r="D55" s="9" t="str">
        <f>IFERROR(VLOOKUP(C55,'Master Component List'!A:B,2,FALSE),"")</f>
        <v>Triple Color LED</v>
      </c>
      <c r="E55" s="11">
        <v>2</v>
      </c>
      <c r="F55" s="9" t="s">
        <v>529</v>
      </c>
      <c r="G55" s="9" t="s">
        <v>225</v>
      </c>
    </row>
    <row r="56" spans="1:7" x14ac:dyDescent="0.25">
      <c r="A56" s="2" t="s">
        <v>5</v>
      </c>
      <c r="B56" s="26" t="str">
        <f>IFERROR(VLOOKUP(C56,'Master Component List'!A:C,3,FALSE),"Other")</f>
        <v>LED</v>
      </c>
      <c r="C56" s="3" t="s">
        <v>227</v>
      </c>
      <c r="D56" s="3" t="str">
        <f>IFERROR(VLOOKUP(C56,'Master Component List'!A:B,2,FALSE),"")</f>
        <v>Led, Green, 570 Nm, 2 V, 30 Ma, 40 Mcd Rohs Compliant: Yes</v>
      </c>
      <c r="E56" s="6">
        <v>4</v>
      </c>
      <c r="F56" s="3" t="s">
        <v>530</v>
      </c>
      <c r="G56" s="3" t="s">
        <v>229</v>
      </c>
    </row>
    <row r="57" spans="1:7" x14ac:dyDescent="0.25">
      <c r="A57" s="8" t="s">
        <v>5</v>
      </c>
      <c r="B57" s="26" t="str">
        <f>IFERROR(VLOOKUP(C57,'Master Component List'!A:C,3,FALSE),"Other")</f>
        <v>LED</v>
      </c>
      <c r="C57" s="9" t="s">
        <v>230</v>
      </c>
      <c r="D57" s="9" t="str">
        <f>IFERROR(VLOOKUP(C57,'Master Component List'!A:B,2,FALSE),"")</f>
        <v>LED 0805 RED</v>
      </c>
      <c r="E57" s="11">
        <v>2</v>
      </c>
      <c r="F57" s="9" t="s">
        <v>531</v>
      </c>
      <c r="G57" s="9" t="s">
        <v>231</v>
      </c>
    </row>
    <row r="58" spans="1:7" x14ac:dyDescent="0.25">
      <c r="A58" s="2" t="s">
        <v>5</v>
      </c>
      <c r="B58" s="11" t="str">
        <f>IFERROR(VLOOKUP(C58,'Master Component List'!A:C,3,FALSE),"Other")</f>
        <v>Other</v>
      </c>
      <c r="C58" s="3" t="s">
        <v>243</v>
      </c>
      <c r="D58" s="3" t="str">
        <f>IFERROR(VLOOKUP(C58,'Master Component List'!A:B,2,FALSE),"")</f>
        <v>WR-MPC3 Dual Row Right Angled Header with Plastic Pegs, THT, pitch 3mm, 2pins</v>
      </c>
      <c r="E58" s="6">
        <v>4</v>
      </c>
      <c r="F58" s="3" t="s">
        <v>532</v>
      </c>
      <c r="G58" s="3" t="s">
        <v>246</v>
      </c>
    </row>
    <row r="59" spans="1:7" x14ac:dyDescent="0.25">
      <c r="A59" s="8" t="s">
        <v>5</v>
      </c>
      <c r="B59" s="11" t="str">
        <f>IFERROR(VLOOKUP(C59,'Master Component List'!A:C,3,FALSE),"Other")</f>
        <v>Connector</v>
      </c>
      <c r="C59" s="9" t="s">
        <v>105</v>
      </c>
      <c r="D59" s="9" t="str">
        <f>IFERROR(VLOOKUP(C59,'Master Component List'!A:B,2,FALSE),"")</f>
        <v>WR-MPC3 Dual Row Right Angled Header with Plastic Pegs, THT, pitch 3mm, 6pins</v>
      </c>
      <c r="E59" s="11">
        <v>2</v>
      </c>
      <c r="F59" s="9" t="s">
        <v>533</v>
      </c>
      <c r="G59" s="9" t="s">
        <v>107</v>
      </c>
    </row>
    <row r="60" spans="1:7" x14ac:dyDescent="0.25">
      <c r="A60" s="2" t="s">
        <v>5</v>
      </c>
      <c r="B60" s="11" t="str">
        <f>IFERROR(VLOOKUP(C60,'Master Component List'!A:C,3,FALSE),"Other")</f>
        <v>Other</v>
      </c>
      <c r="C60" s="3" t="s">
        <v>252</v>
      </c>
      <c r="D60" s="3" t="str">
        <f>IFERROR(VLOOKUP(C60,'Master Component List'!A:B,2,FALSE),"")</f>
        <v>WR-MPC3 Dual Row Right Angled Header with Plastic Pegs, THT, pitch 3mm, 12pins</v>
      </c>
      <c r="E60" s="6">
        <v>1</v>
      </c>
      <c r="F60" s="3" t="s">
        <v>483</v>
      </c>
      <c r="G60" s="3" t="s">
        <v>252</v>
      </c>
    </row>
    <row r="61" spans="1:7" x14ac:dyDescent="0.25">
      <c r="A61" s="8" t="s">
        <v>5</v>
      </c>
      <c r="B61" s="11" t="str">
        <f>IFERROR(VLOOKUP(C61,'Master Component List'!A:C,3,FALSE),"Other")</f>
        <v>Other</v>
      </c>
      <c r="C61" s="9" t="s">
        <v>254</v>
      </c>
      <c r="D61" s="9" t="str">
        <f>IFERROR(VLOOKUP(C61,'Master Component List'!A:B,2,FALSE),"")</f>
        <v>WE-BMS Transformer for Battery Management Systems, SMT, 2 Port, 1000VDC</v>
      </c>
      <c r="E61" s="11">
        <v>1</v>
      </c>
      <c r="F61" s="9" t="s">
        <v>534</v>
      </c>
      <c r="G61" s="9" t="s">
        <v>254</v>
      </c>
    </row>
    <row r="62" spans="1:7" x14ac:dyDescent="0.25">
      <c r="A62" s="2" t="s">
        <v>5</v>
      </c>
      <c r="B62" s="11" t="str">
        <f>IFERROR(VLOOKUP(C62,'Master Component List'!A:C,3,FALSE),"Other")</f>
        <v>Other</v>
      </c>
      <c r="C62" s="3" t="s">
        <v>267</v>
      </c>
      <c r="D62" s="3" t="str">
        <f>IFERROR(VLOOKUP(C62,'Master Component List'!A:B,2,FALSE),"")</f>
        <v>Low Signal Relay 12VDC Coil 8-Blade Terminal 125VAC/DC 2A 2 Poles PCB Mounting DPDT</v>
      </c>
      <c r="E62" s="6">
        <v>7</v>
      </c>
      <c r="F62" s="3" t="s">
        <v>535</v>
      </c>
      <c r="G62" s="3" t="s">
        <v>267</v>
      </c>
    </row>
    <row r="63" spans="1:7" x14ac:dyDescent="0.25">
      <c r="A63" s="8" t="s">
        <v>5</v>
      </c>
      <c r="B63" s="27" t="str">
        <f>IFERROR(VLOOKUP(C63,'Master Component List'!A:C,3,FALSE),"Other")</f>
        <v>Resistor</v>
      </c>
      <c r="C63" s="9" t="s">
        <v>286</v>
      </c>
      <c r="D63" s="9" t="str">
        <f>IFERROR(VLOOKUP(C63,'Master Component List'!A:B,2,FALSE),"")</f>
        <v>100R 1% 0603</v>
      </c>
      <c r="E63" s="11">
        <v>2</v>
      </c>
      <c r="F63" s="9" t="s">
        <v>536</v>
      </c>
      <c r="G63" s="9" t="s">
        <v>287</v>
      </c>
    </row>
    <row r="64" spans="1:7" x14ac:dyDescent="0.25">
      <c r="A64" s="2" t="s">
        <v>5</v>
      </c>
      <c r="B64" s="27" t="str">
        <f>IFERROR(VLOOKUP(C64,'Master Component List'!A:C,3,FALSE),"Other")</f>
        <v>Resistor</v>
      </c>
      <c r="C64" s="3" t="s">
        <v>286</v>
      </c>
      <c r="D64" s="3" t="str">
        <f>IFERROR(VLOOKUP(C64,'Master Component List'!A:B,2,FALSE),"")</f>
        <v>100R 1% 0603</v>
      </c>
      <c r="E64" s="6">
        <v>2</v>
      </c>
      <c r="F64" s="3" t="s">
        <v>537</v>
      </c>
      <c r="G64" s="3" t="s">
        <v>289</v>
      </c>
    </row>
    <row r="65" spans="1:7" x14ac:dyDescent="0.25">
      <c r="A65" s="8" t="s">
        <v>5</v>
      </c>
      <c r="B65" s="27" t="str">
        <f>IFERROR(VLOOKUP(C65,'Master Component List'!A:C,3,FALSE),"Other")</f>
        <v>Resistor</v>
      </c>
      <c r="C65" s="9" t="s">
        <v>298</v>
      </c>
      <c r="D65" s="9" t="str">
        <f>IFERROR(VLOOKUP(C65,'Master Component List'!A:B,2,FALSE),"")</f>
        <v>10k 1% 0402 0.063W</v>
      </c>
      <c r="E65" s="11">
        <v>2</v>
      </c>
      <c r="F65" s="9" t="s">
        <v>538</v>
      </c>
      <c r="G65" s="9" t="s">
        <v>300</v>
      </c>
    </row>
    <row r="66" spans="1:7" x14ac:dyDescent="0.25">
      <c r="A66" s="2" t="s">
        <v>5</v>
      </c>
      <c r="B66" s="27" t="str">
        <f>IFERROR(VLOOKUP(C66,'Master Component List'!A:C,3,FALSE),"Other")</f>
        <v>Resistor</v>
      </c>
      <c r="C66" s="3" t="s">
        <v>301</v>
      </c>
      <c r="D66" s="3" t="str">
        <f>IFERROR(VLOOKUP(C66,'Master Component List'!A:B,2,FALSE),"")</f>
        <v>10k 1% 0603 100mW</v>
      </c>
      <c r="E66" s="6">
        <v>6</v>
      </c>
      <c r="F66" s="3" t="s">
        <v>539</v>
      </c>
      <c r="G66" s="3" t="s">
        <v>303</v>
      </c>
    </row>
    <row r="67" spans="1:7" x14ac:dyDescent="0.25">
      <c r="A67" s="8" t="s">
        <v>5</v>
      </c>
      <c r="B67" s="27" t="str">
        <f>IFERROR(VLOOKUP(C67,'Master Component List'!A:C,3,FALSE),"Other")</f>
        <v>Resistor</v>
      </c>
      <c r="C67" s="9" t="s">
        <v>309</v>
      </c>
      <c r="D67" s="9" t="str">
        <f>IFERROR(VLOOKUP(C67,'Master Component List'!A:B,2,FALSE),"")</f>
        <v>22k1 0.1% 0603</v>
      </c>
      <c r="E67" s="11">
        <v>2</v>
      </c>
      <c r="F67" s="9" t="s">
        <v>540</v>
      </c>
      <c r="G67" s="9" t="s">
        <v>311</v>
      </c>
    </row>
    <row r="68" spans="1:7" x14ac:dyDescent="0.25">
      <c r="A68" s="2" t="s">
        <v>5</v>
      </c>
      <c r="B68" s="27" t="str">
        <f>IFERROR(VLOOKUP(C68,'Master Component List'!A:C,3,FALSE),"Other")</f>
        <v>Resistor</v>
      </c>
      <c r="C68" s="3" t="s">
        <v>317</v>
      </c>
      <c r="D68" s="3" t="str">
        <f>IFERROR(VLOOKUP(C68,'Master Component List'!A:B,2,FALSE),"")</f>
        <v>150k 1% 0603 250mW</v>
      </c>
      <c r="E68" s="6">
        <v>1</v>
      </c>
      <c r="F68" s="3" t="s">
        <v>541</v>
      </c>
      <c r="G68" s="3" t="s">
        <v>319</v>
      </c>
    </row>
    <row r="69" spans="1:7" x14ac:dyDescent="0.25">
      <c r="A69" s="8" t="s">
        <v>5</v>
      </c>
      <c r="B69" s="27" t="str">
        <f>IFERROR(VLOOKUP(C69,'Master Component List'!A:C,3,FALSE),"Other")</f>
        <v>Resistor</v>
      </c>
      <c r="C69" s="9" t="s">
        <v>327</v>
      </c>
      <c r="D69" s="9" t="str">
        <f>IFERROR(VLOOKUP(C69,'Master Component List'!A:B,2,FALSE),"")</f>
        <v>1k 1% 0603 250mW</v>
      </c>
      <c r="E69" s="11">
        <v>3</v>
      </c>
      <c r="F69" s="9" t="s">
        <v>542</v>
      </c>
      <c r="G69" s="9" t="s">
        <v>329</v>
      </c>
    </row>
    <row r="70" spans="1:7" x14ac:dyDescent="0.25">
      <c r="A70" s="2" t="s">
        <v>5</v>
      </c>
      <c r="B70" s="27" t="str">
        <f>IFERROR(VLOOKUP(C70,'Master Component List'!A:C,3,FALSE),"Other")</f>
        <v>Resistor</v>
      </c>
      <c r="C70" s="3" t="s">
        <v>337</v>
      </c>
      <c r="D70" s="3" t="str">
        <f>IFERROR(VLOOKUP(C70,'Master Component List'!A:B,2,FALSE),"")</f>
        <v>Res Thick Film 0603 1.5K Ohm 1% 0.1W(1/10W) ±100ppm/C Pad SMD T/R</v>
      </c>
      <c r="E70" s="6">
        <v>1</v>
      </c>
      <c r="F70" s="3" t="s">
        <v>543</v>
      </c>
      <c r="G70" s="3" t="s">
        <v>339</v>
      </c>
    </row>
    <row r="71" spans="1:7" x14ac:dyDescent="0.25">
      <c r="A71" s="8" t="s">
        <v>5</v>
      </c>
      <c r="B71" s="27" t="str">
        <f>IFERROR(VLOOKUP(C71,'Master Component List'!A:C,3,FALSE),"Other")</f>
        <v>Resistor</v>
      </c>
      <c r="C71" s="9" t="s">
        <v>310</v>
      </c>
      <c r="D71" s="9" t="str">
        <f>IFERROR(VLOOKUP(C71,'Master Component List'!A:B,2,FALSE),"")</f>
        <v>Fixed Resistor, Thin Film, 0.1W, 22100ohm, 75V, 0.1% +/-Tol, 25ppm/Cel, Surface Mount, 0603</v>
      </c>
      <c r="E71" s="11">
        <v>1</v>
      </c>
      <c r="F71" s="9" t="s">
        <v>544</v>
      </c>
      <c r="G71" s="9" t="s">
        <v>356</v>
      </c>
    </row>
    <row r="72" spans="1:7" x14ac:dyDescent="0.25">
      <c r="A72" s="2" t="s">
        <v>5</v>
      </c>
      <c r="B72" s="27" t="str">
        <f>IFERROR(VLOOKUP(C72,'Master Component List'!A:C,3,FALSE),"Other")</f>
        <v>Resistor</v>
      </c>
      <c r="C72" s="3" t="s">
        <v>360</v>
      </c>
      <c r="D72" s="3" t="str">
        <f>IFERROR(VLOOKUP(C72,'Master Component List'!A:B,2,FALSE),"")</f>
        <v>240k 1% 0603 250mW</v>
      </c>
      <c r="E72" s="6">
        <v>1</v>
      </c>
      <c r="F72" s="3" t="s">
        <v>545</v>
      </c>
      <c r="G72" s="3" t="s">
        <v>362</v>
      </c>
    </row>
    <row r="73" spans="1:7" x14ac:dyDescent="0.25">
      <c r="A73" s="8" t="s">
        <v>5</v>
      </c>
      <c r="B73" s="27" t="str">
        <f>IFERROR(VLOOKUP(C73,'Master Component List'!A:C,3,FALSE),"Other")</f>
        <v>Resistor</v>
      </c>
      <c r="C73" s="9" t="s">
        <v>366</v>
      </c>
      <c r="D73" s="9" t="str">
        <f>IFERROR(VLOOKUP(C73,'Master Component List'!A:B,2,FALSE),"")</f>
        <v>2M2 1% 0603 250mW</v>
      </c>
      <c r="E73" s="11">
        <v>3</v>
      </c>
      <c r="F73" s="9" t="s">
        <v>546</v>
      </c>
      <c r="G73" s="9" t="s">
        <v>368</v>
      </c>
    </row>
    <row r="74" spans="1:7" x14ac:dyDescent="0.25">
      <c r="A74" s="2" t="s">
        <v>5</v>
      </c>
      <c r="B74" s="27" t="str">
        <f>IFERROR(VLOOKUP(C74,'Master Component List'!A:C,3,FALSE),"Other")</f>
        <v>Resistor</v>
      </c>
      <c r="C74" s="3" t="s">
        <v>374</v>
      </c>
      <c r="D74" s="3" t="str">
        <f>IFERROR(VLOOKUP(C74,'Master Component List'!A:B,2,FALSE),"")</f>
        <v>2k2 1% 0402 0.063W</v>
      </c>
      <c r="E74" s="6">
        <v>2</v>
      </c>
      <c r="F74" s="3" t="s">
        <v>547</v>
      </c>
      <c r="G74" s="3" t="s">
        <v>376</v>
      </c>
    </row>
    <row r="75" spans="1:7" x14ac:dyDescent="0.25">
      <c r="A75" s="8" t="s">
        <v>5</v>
      </c>
      <c r="B75" s="27" t="str">
        <f>IFERROR(VLOOKUP(C75,'Master Component List'!A:C,3,FALSE),"Other")</f>
        <v>Resistor</v>
      </c>
      <c r="C75" s="9" t="s">
        <v>377</v>
      </c>
      <c r="D75" s="9" t="str">
        <f>IFERROR(VLOOKUP(C75,'Master Component List'!A:B,2,FALSE),"")</f>
        <v>2k2, 1%, 0603 250mW</v>
      </c>
      <c r="E75" s="11">
        <v>5</v>
      </c>
      <c r="F75" s="9" t="s">
        <v>548</v>
      </c>
      <c r="G75" s="9" t="s">
        <v>379</v>
      </c>
    </row>
    <row r="76" spans="1:7" x14ac:dyDescent="0.25">
      <c r="A76" s="2" t="s">
        <v>5</v>
      </c>
      <c r="B76" s="27" t="str">
        <f>IFERROR(VLOOKUP(C76,'Master Component List'!A:C,3,FALSE),"Other")</f>
        <v>Resistor</v>
      </c>
      <c r="C76" s="3" t="s">
        <v>380</v>
      </c>
      <c r="D76" s="3" t="str">
        <f>IFERROR(VLOOKUP(C76,'Master Component List'!A:B,2,FALSE),"")</f>
        <v>330R 1% 0603</v>
      </c>
      <c r="E76" s="6">
        <v>1</v>
      </c>
      <c r="F76" s="3" t="s">
        <v>549</v>
      </c>
      <c r="G76" s="3" t="s">
        <v>381</v>
      </c>
    </row>
    <row r="77" spans="1:7" x14ac:dyDescent="0.25">
      <c r="A77" s="8" t="s">
        <v>5</v>
      </c>
      <c r="B77" s="27" t="str">
        <f>IFERROR(VLOOKUP(C77,'Master Component List'!A:C,3,FALSE),"Other")</f>
        <v>Resistor</v>
      </c>
      <c r="C77" s="9" t="s">
        <v>384</v>
      </c>
      <c r="D77" s="9" t="str">
        <f>IFERROR(VLOOKUP(C77,'Master Component List'!A:B,2,FALSE),"")</f>
        <v>34k8 1% 0603</v>
      </c>
      <c r="E77" s="11">
        <v>1</v>
      </c>
      <c r="F77" s="9" t="s">
        <v>550</v>
      </c>
      <c r="G77" s="9" t="s">
        <v>385</v>
      </c>
    </row>
    <row r="78" spans="1:7" x14ac:dyDescent="0.25">
      <c r="A78" s="2" t="s">
        <v>5</v>
      </c>
      <c r="B78" s="27" t="str">
        <f>IFERROR(VLOOKUP(C78,'Master Component List'!A:C,3,FALSE),"Other")</f>
        <v>Resistor</v>
      </c>
      <c r="C78" s="3" t="s">
        <v>386</v>
      </c>
      <c r="D78" s="3" t="str">
        <f>IFERROR(VLOOKUP(C78,'Master Component List'!A:B,2,FALSE),"")</f>
        <v>390k 1% 0603 250mW</v>
      </c>
      <c r="E78" s="6">
        <v>1</v>
      </c>
      <c r="F78" s="3" t="s">
        <v>551</v>
      </c>
      <c r="G78" s="3" t="s">
        <v>388</v>
      </c>
    </row>
    <row r="79" spans="1:7" x14ac:dyDescent="0.25">
      <c r="A79" s="8" t="s">
        <v>5</v>
      </c>
      <c r="B79" s="27" t="str">
        <f>IFERROR(VLOOKUP(C79,'Master Component List'!A:C,3,FALSE),"Other")</f>
        <v>Resistor</v>
      </c>
      <c r="C79" s="9" t="s">
        <v>389</v>
      </c>
      <c r="D79" s="9" t="str">
        <f>IFERROR(VLOOKUP(C79,'Master Component List'!A:B,2,FALSE),"")</f>
        <v>3k3 1% 0603 0.1 mW</v>
      </c>
      <c r="E79" s="11">
        <v>2</v>
      </c>
      <c r="F79" s="9" t="s">
        <v>552</v>
      </c>
      <c r="G79" s="9" t="s">
        <v>391</v>
      </c>
    </row>
    <row r="80" spans="1:7" x14ac:dyDescent="0.25">
      <c r="A80" s="2" t="s">
        <v>5</v>
      </c>
      <c r="B80" s="27" t="str">
        <f>IFERROR(VLOOKUP(C80,'Master Component List'!A:C,3,FALSE),"Other")</f>
        <v>Resistor</v>
      </c>
      <c r="C80" s="3" t="s">
        <v>405</v>
      </c>
      <c r="D80" s="3" t="str">
        <f>IFERROR(VLOOKUP(C80,'Master Component List'!A:B,2,FALSE),"")</f>
        <v>4k7 1% 0603</v>
      </c>
      <c r="E80" s="6">
        <v>10</v>
      </c>
      <c r="F80" s="3" t="s">
        <v>553</v>
      </c>
      <c r="G80" s="3" t="s">
        <v>406</v>
      </c>
    </row>
    <row r="81" spans="1:7" x14ac:dyDescent="0.25">
      <c r="A81" s="8" t="s">
        <v>5</v>
      </c>
      <c r="B81" s="27" t="str">
        <f>IFERROR(VLOOKUP(C81,'Master Component List'!A:C,3,FALSE),"Other")</f>
        <v>Resistor</v>
      </c>
      <c r="C81" s="9" t="s">
        <v>412</v>
      </c>
      <c r="D81" s="9" t="str">
        <f>IFERROR(VLOOKUP(C81,'Master Component List'!A:B,2,FALSE),"")</f>
        <v>5k1 1% 0603 100 mW</v>
      </c>
      <c r="E81" s="11">
        <v>3</v>
      </c>
      <c r="F81" s="9" t="s">
        <v>554</v>
      </c>
      <c r="G81" s="9" t="s">
        <v>414</v>
      </c>
    </row>
    <row r="82" spans="1:7" x14ac:dyDescent="0.25">
      <c r="A82" s="2" t="s">
        <v>5</v>
      </c>
      <c r="B82" s="27" t="str">
        <f>IFERROR(VLOOKUP(C82,'Master Component List'!A:C,3,FALSE),"Other")</f>
        <v>Resistor</v>
      </c>
      <c r="C82" s="3" t="s">
        <v>415</v>
      </c>
      <c r="D82" s="3" t="str">
        <f>IFERROR(VLOOKUP(C82,'Master Component List'!A:B,2,FALSE),"")</f>
        <v>60R4 1% 0603</v>
      </c>
      <c r="E82" s="6">
        <v>4</v>
      </c>
      <c r="F82" s="3" t="s">
        <v>555</v>
      </c>
      <c r="G82" s="3" t="s">
        <v>416</v>
      </c>
    </row>
    <row r="83" spans="1:7" x14ac:dyDescent="0.25">
      <c r="A83" s="8" t="s">
        <v>5</v>
      </c>
      <c r="B83" s="27" t="str">
        <f>IFERROR(VLOOKUP(C83,'Master Component List'!A:C,3,FALSE),"Other")</f>
        <v>Resistor</v>
      </c>
      <c r="C83" s="9" t="s">
        <v>420</v>
      </c>
      <c r="D83" s="9" t="str">
        <f>IFERROR(VLOOKUP(C83,'Master Component List'!A:B,2,FALSE),"")</f>
        <v>Res Thin Film 0603 69.8K Ohm 0.1% 0.1W(1/10W) ±25ppm/°C Molded SMD Punched Carrier T/R</v>
      </c>
      <c r="E83" s="11">
        <v>1</v>
      </c>
      <c r="F83" s="9" t="s">
        <v>556</v>
      </c>
      <c r="G83" s="9" t="s">
        <v>423</v>
      </c>
    </row>
    <row r="84" spans="1:7" x14ac:dyDescent="0.25">
      <c r="A84" s="2" t="s">
        <v>5</v>
      </c>
      <c r="B84" s="27" t="str">
        <f>IFERROR(VLOOKUP(C84,'Master Component List'!A:C,3,FALSE),"Other")</f>
        <v>Resistor</v>
      </c>
      <c r="C84" s="3" t="s">
        <v>424</v>
      </c>
      <c r="D84" s="3" t="str">
        <f>IFERROR(VLOOKUP(C84,'Master Component List'!A:B,2,FALSE),"")</f>
        <v>6k2 1% 0603 100mW Thick Film</v>
      </c>
      <c r="E84" s="6">
        <v>2</v>
      </c>
      <c r="F84" s="3" t="s">
        <v>557</v>
      </c>
      <c r="G84" s="3" t="s">
        <v>426</v>
      </c>
    </row>
    <row r="85" spans="1:7" x14ac:dyDescent="0.25">
      <c r="A85" s="8" t="s">
        <v>5</v>
      </c>
      <c r="B85" s="27" t="str">
        <f>IFERROR(VLOOKUP(C85,'Master Component List'!A:C,3,FALSE),"Other")</f>
        <v>Resistor</v>
      </c>
      <c r="C85" s="9" t="s">
        <v>430</v>
      </c>
      <c r="D85" s="9" t="str">
        <f>IFERROR(VLOOKUP(C85,'Master Component List'!A:B,2,FALSE),"")</f>
        <v>7k5 1% 0603 250mW</v>
      </c>
      <c r="E85" s="11">
        <v>2</v>
      </c>
      <c r="F85" s="9" t="s">
        <v>485</v>
      </c>
      <c r="G85" s="9" t="s">
        <v>432</v>
      </c>
    </row>
    <row r="86" spans="1:7" x14ac:dyDescent="0.25">
      <c r="A86" s="2" t="s">
        <v>5</v>
      </c>
      <c r="B86" s="28" t="str">
        <f>IFERROR(VLOOKUP(C86,'Master Component List'!A:C,3,FALSE),"Other")</f>
        <v>Transistor</v>
      </c>
      <c r="C86" s="3" t="s">
        <v>459</v>
      </c>
      <c r="D86" s="3" t="str">
        <f>IFERROR(VLOOKUP(C86,'Master Component List'!A:B,2,FALSE),"")</f>
        <v>MOSFET N, 100 V 4.6 A 2.5 W SO-8, IRF7495PBF, IR</v>
      </c>
      <c r="E86" s="6">
        <v>3</v>
      </c>
      <c r="F86" s="3" t="s">
        <v>558</v>
      </c>
      <c r="G86" s="3" t="s">
        <v>461</v>
      </c>
    </row>
    <row r="87" spans="1:7" x14ac:dyDescent="0.25">
      <c r="A87" s="8" t="s">
        <v>5</v>
      </c>
      <c r="B87" s="28" t="str">
        <f>IFERROR(VLOOKUP(C87,'Master Component List'!A:C,3,FALSE),"Other")</f>
        <v>Transistor</v>
      </c>
      <c r="C87" s="9" t="s">
        <v>462</v>
      </c>
      <c r="D87" s="9" t="str">
        <f>IFERROR(VLOOKUP(C87,'Master Component List'!A:B,2,FALSE),"")</f>
        <v>Power Field-Effect Transistor, 4.4A I(D), 55V, 0.065ohm, 1-Element, N-Channel, Silicon, Metal-oxide Semiconductor FET, TO-261AA</v>
      </c>
      <c r="E87" s="11">
        <v>1</v>
      </c>
      <c r="F87" s="9" t="s">
        <v>559</v>
      </c>
      <c r="G87" s="9" t="s">
        <v>462</v>
      </c>
    </row>
    <row r="88" spans="1:7" x14ac:dyDescent="0.25">
      <c r="A88" s="2" t="s">
        <v>5</v>
      </c>
      <c r="B88" s="28" t="str">
        <f>IFERROR(VLOOKUP(C88,'Master Component List'!A:C,3,FALSE),"Other")</f>
        <v>Transistor</v>
      </c>
      <c r="C88" s="3" t="s">
        <v>466</v>
      </c>
      <c r="D88" s="3" t="str">
        <f>IFERROR(VLOOKUP(C88,'Master Component List'!A:B,2,FALSE),"")</f>
        <v>Transistor Gp Bjt NPN 40V 0.2A 3-PIN SOT-23 T/r</v>
      </c>
      <c r="E88" s="6">
        <v>2</v>
      </c>
      <c r="F88" s="3" t="s">
        <v>560</v>
      </c>
      <c r="G88" s="3" t="s">
        <v>466</v>
      </c>
    </row>
    <row r="89" spans="1:7" x14ac:dyDescent="0.25">
      <c r="A89" s="8" t="s">
        <v>6</v>
      </c>
      <c r="B89" s="21" t="str">
        <f>IFERROR(VLOOKUP(C89,'Master Component List'!A:C,3,FALSE),"Other")</f>
        <v>Capacitor</v>
      </c>
      <c r="C89" s="9" t="s">
        <v>24</v>
      </c>
      <c r="D89" s="9" t="str">
        <f>IFERROR(VLOOKUP(C89,'Master Component List'!A:B,2,FALSE),"")</f>
        <v>100nF 50V X7R 0603</v>
      </c>
      <c r="E89" s="11">
        <v>27</v>
      </c>
      <c r="F89" s="9" t="s">
        <v>561</v>
      </c>
      <c r="G89" s="9" t="s">
        <v>25</v>
      </c>
    </row>
    <row r="90" spans="1:7" x14ac:dyDescent="0.25">
      <c r="A90" s="2" t="s">
        <v>6</v>
      </c>
      <c r="B90" s="21" t="str">
        <f>IFERROR(VLOOKUP(C90,'Master Component List'!A:C,3,FALSE),"Other")</f>
        <v>Capacitor</v>
      </c>
      <c r="C90" s="3" t="s">
        <v>35</v>
      </c>
      <c r="D90" s="3" t="str">
        <f>IFERROR(VLOOKUP(C90,'Master Component List'!A:B,2,FALSE),"")</f>
        <v>10uF 25V X7R 0805</v>
      </c>
      <c r="E90" s="6">
        <v>1</v>
      </c>
      <c r="F90" s="3" t="s">
        <v>562</v>
      </c>
      <c r="G90" s="3" t="s">
        <v>36</v>
      </c>
    </row>
    <row r="91" spans="1:7" x14ac:dyDescent="0.25">
      <c r="A91" s="8" t="s">
        <v>6</v>
      </c>
      <c r="B91" s="21" t="str">
        <f>IFERROR(VLOOKUP(C91,'Master Component List'!A:C,3,FALSE),"Other")</f>
        <v>Capacitor</v>
      </c>
      <c r="C91" s="9" t="s">
        <v>37</v>
      </c>
      <c r="D91" s="9" t="str">
        <f>IFERROR(VLOOKUP(C91,'Master Component List'!A:B,2,FALSE),"")</f>
        <v>10uF 50V X7R 1206</v>
      </c>
      <c r="E91" s="11">
        <v>1</v>
      </c>
      <c r="F91" s="9" t="s">
        <v>563</v>
      </c>
      <c r="G91" s="9" t="s">
        <v>38</v>
      </c>
    </row>
    <row r="92" spans="1:7" x14ac:dyDescent="0.25">
      <c r="A92" s="2" t="s">
        <v>6</v>
      </c>
      <c r="B92" s="21" t="str">
        <f>IFERROR(VLOOKUP(C92,'Master Component List'!A:C,3,FALSE),"Other")</f>
        <v>Capacitor</v>
      </c>
      <c r="C92" s="3" t="s">
        <v>55</v>
      </c>
      <c r="D92" s="3" t="str">
        <f>IFERROR(VLOOKUP(C92,'Master Component List'!A:B,2,FALSE),"")</f>
        <v>22uF 35V X7R 1206</v>
      </c>
      <c r="E92" s="6">
        <v>3</v>
      </c>
      <c r="F92" s="3" t="s">
        <v>564</v>
      </c>
      <c r="G92" s="3" t="s">
        <v>56</v>
      </c>
    </row>
    <row r="93" spans="1:7" x14ac:dyDescent="0.25">
      <c r="A93" s="8" t="s">
        <v>6</v>
      </c>
      <c r="B93" s="21" t="str">
        <f>IFERROR(VLOOKUP(C93,'Master Component List'!A:C,3,FALSE),"Other")</f>
        <v>Capacitor</v>
      </c>
      <c r="C93" s="9" t="s">
        <v>57</v>
      </c>
      <c r="D93" s="9" t="str">
        <f>IFERROR(VLOOKUP(C93,'Master Component List'!A:B,2,FALSE),"")</f>
        <v>2700pF 50V X7R 0603</v>
      </c>
      <c r="E93" s="11">
        <v>1</v>
      </c>
      <c r="F93" s="9" t="s">
        <v>565</v>
      </c>
      <c r="G93" s="9" t="s">
        <v>58</v>
      </c>
    </row>
    <row r="94" spans="1:7" x14ac:dyDescent="0.25">
      <c r="A94" s="2" t="s">
        <v>6</v>
      </c>
      <c r="B94" s="21" t="str">
        <f>IFERROR(VLOOKUP(C94,'Master Component List'!A:C,3,FALSE),"Other")</f>
        <v>Capacitor</v>
      </c>
      <c r="C94" s="3" t="s">
        <v>61</v>
      </c>
      <c r="D94" s="3" t="str">
        <f>IFERROR(VLOOKUP(C94,'Master Component List'!A:B,2,FALSE),"")</f>
        <v>2u2 25V X6S 0603</v>
      </c>
      <c r="E94" s="6">
        <v>1</v>
      </c>
      <c r="F94" s="3" t="s">
        <v>566</v>
      </c>
      <c r="G94" s="3" t="s">
        <v>62</v>
      </c>
    </row>
    <row r="95" spans="1:7" x14ac:dyDescent="0.25">
      <c r="A95" s="8" t="s">
        <v>6</v>
      </c>
      <c r="B95" s="21" t="str">
        <f>IFERROR(VLOOKUP(C95,'Master Component List'!A:C,3,FALSE),"Other")</f>
        <v>Capacitor</v>
      </c>
      <c r="C95" s="9" t="s">
        <v>70</v>
      </c>
      <c r="D95" s="9" t="str">
        <f>IFERROR(VLOOKUP(C95,'Master Component List'!A:B,2,FALSE),"")</f>
        <v>47pF 50VV X7R 0603</v>
      </c>
      <c r="E95" s="11">
        <v>1</v>
      </c>
      <c r="F95" s="9" t="s">
        <v>498</v>
      </c>
      <c r="G95" s="9" t="s">
        <v>72</v>
      </c>
    </row>
    <row r="96" spans="1:7" x14ac:dyDescent="0.25">
      <c r="A96" s="2" t="s">
        <v>6</v>
      </c>
      <c r="B96" s="21" t="str">
        <f>IFERROR(VLOOKUP(C96,'Master Component List'!A:C,3,FALSE),"Other")</f>
        <v>Capacitor</v>
      </c>
      <c r="C96" s="3" t="s">
        <v>86</v>
      </c>
      <c r="D96" s="3" t="str">
        <f>IFERROR(VLOOKUP(C96,'Master Component List'!A:B,2,FALSE),"")</f>
        <v>WCAP-ASLI Aluminum Electrolytic Capacitor, V-Chip, D5 x H5.5mm, 10uF, 50V</v>
      </c>
      <c r="E96" s="6">
        <v>1</v>
      </c>
      <c r="F96" s="3" t="s">
        <v>567</v>
      </c>
      <c r="G96" s="3" t="s">
        <v>86</v>
      </c>
    </row>
    <row r="97" spans="1:7" x14ac:dyDescent="0.25">
      <c r="A97" s="8" t="s">
        <v>6</v>
      </c>
      <c r="B97" s="23" t="str">
        <f>IFERROR(VLOOKUP(C97,'Master Component List'!A:C,3,FALSE),"Other")</f>
        <v>Diode</v>
      </c>
      <c r="C97" s="9" t="s">
        <v>115</v>
      </c>
      <c r="D97" s="9" t="str">
        <f>IFERROR(VLOOKUP(C97,'Master Component List'!A:B,2,FALSE),"")</f>
        <v>Diode, SMD, 75V, 5%, 250mA, SOD123</v>
      </c>
      <c r="E97" s="11">
        <v>2</v>
      </c>
      <c r="F97" s="9" t="s">
        <v>568</v>
      </c>
      <c r="G97" s="9" t="s">
        <v>115</v>
      </c>
    </row>
    <row r="98" spans="1:7" x14ac:dyDescent="0.25">
      <c r="A98" s="2" t="s">
        <v>6</v>
      </c>
      <c r="B98" s="23" t="str">
        <f>IFERROR(VLOOKUP(C98,'Master Component List'!A:C,3,FALSE),"Other")</f>
        <v>Diode</v>
      </c>
      <c r="C98" s="3" t="s">
        <v>125</v>
      </c>
      <c r="D98" s="3" t="str">
        <f>IFERROR(VLOOKUP(C98,'Master Component List'!A:B,2,FALSE),"")</f>
        <v>WE-TVS TVS Diode – Standard Series, DFN1610-2L, 1 Channel, 5V, 140pF</v>
      </c>
      <c r="E98" s="6">
        <v>4</v>
      </c>
      <c r="F98" s="3" t="s">
        <v>569</v>
      </c>
      <c r="G98" s="3" t="s">
        <v>125</v>
      </c>
    </row>
    <row r="99" spans="1:7" x14ac:dyDescent="0.25">
      <c r="A99" s="8" t="s">
        <v>6</v>
      </c>
      <c r="B99" s="23" t="str">
        <f>IFERROR(VLOOKUP(C99,'Master Component List'!A:C,3,FALSE),"Other")</f>
        <v>Diode</v>
      </c>
      <c r="C99" s="9" t="s">
        <v>127</v>
      </c>
      <c r="D99" s="9" t="str">
        <f>IFERROR(VLOOKUP(C99,'Master Component List'!A:B,2,FALSE),"")</f>
        <v>WE-TVSP SMT Power TVS Diode, DO-214AC, Bidirectional, 400W, 30VDC</v>
      </c>
      <c r="E99" s="11">
        <v>1</v>
      </c>
      <c r="F99" s="9" t="s">
        <v>509</v>
      </c>
      <c r="G99" s="9" t="s">
        <v>127</v>
      </c>
    </row>
    <row r="100" spans="1:7" x14ac:dyDescent="0.25">
      <c r="A100" s="2" t="s">
        <v>6</v>
      </c>
      <c r="B100" s="23" t="str">
        <f>IFERROR(VLOOKUP(C100,'Master Component List'!A:C,3,FALSE),"Other")</f>
        <v>Diode</v>
      </c>
      <c r="C100" s="3" t="s">
        <v>141</v>
      </c>
      <c r="D100" s="3" t="str">
        <f>IFERROR(VLOOKUP(C100,'Master Component List'!A:B,2,FALSE),"")</f>
        <v>Rectifier Diode, Schottky, 1 Phase, 1 Element, 4.2A, 60V V(RRM), Silicon</v>
      </c>
      <c r="E100" s="6">
        <v>2</v>
      </c>
      <c r="F100" s="3" t="s">
        <v>570</v>
      </c>
      <c r="G100" s="3" t="s">
        <v>141</v>
      </c>
    </row>
    <row r="101" spans="1:7" x14ac:dyDescent="0.25">
      <c r="A101" s="8" t="s">
        <v>6</v>
      </c>
      <c r="B101" s="23" t="str">
        <f>IFERROR(VLOOKUP(C101,'Master Component List'!A:C,3,FALSE),"Other")</f>
        <v>Diode</v>
      </c>
      <c r="C101" s="9" t="s">
        <v>145</v>
      </c>
      <c r="D101" s="9" t="str">
        <f>IFERROR(VLOOKUP(C101,'Master Component List'!A:B,2,FALSE),"")</f>
        <v>Zener Diode 12V 1W ±5% Surface Mount SMA</v>
      </c>
      <c r="E101" s="11">
        <v>1</v>
      </c>
      <c r="F101" s="9" t="s">
        <v>571</v>
      </c>
      <c r="G101" s="9" t="s">
        <v>145</v>
      </c>
    </row>
    <row r="102" spans="1:7" x14ac:dyDescent="0.25">
      <c r="A102" s="2" t="s">
        <v>6</v>
      </c>
      <c r="B102" s="23" t="str">
        <f>IFERROR(VLOOKUP(C102,'Master Component List'!A:C,3,FALSE),"Other")</f>
        <v>Diode</v>
      </c>
      <c r="C102" s="3" t="s">
        <v>147</v>
      </c>
      <c r="D102" s="3" t="str">
        <f>IFERROR(VLOOKUP(C102,'Master Component List'!A:B,2,FALSE),"")</f>
        <v>Zener Diode 22V 1W ±5% Surface Mount SMA</v>
      </c>
      <c r="E102" s="6">
        <v>1</v>
      </c>
      <c r="F102" s="3" t="s">
        <v>572</v>
      </c>
      <c r="G102" s="3" t="s">
        <v>147</v>
      </c>
    </row>
    <row r="103" spans="1:7" x14ac:dyDescent="0.25">
      <c r="A103" s="8" t="s">
        <v>6</v>
      </c>
      <c r="B103" s="24" t="str">
        <f>IFERROR(VLOOKUP(C103,'Master Component List'!A:C,3,FALSE),"Other")</f>
        <v>IC</v>
      </c>
      <c r="C103" s="9" t="s">
        <v>160</v>
      </c>
      <c r="D103" s="9" t="str">
        <f>IFERROR(VLOOKUP(C103,'Master Component List'!A:B,2,FALSE),"")</f>
        <v>Buck Switching Regulator IC Positive Adjustable 0.8V 1 Output 5A 8-SOIC (0.154", 3.90mm Width) Exposed Pad</v>
      </c>
      <c r="E103" s="11">
        <v>1</v>
      </c>
      <c r="F103" s="9" t="s">
        <v>521</v>
      </c>
      <c r="G103" s="9" t="s">
        <v>160</v>
      </c>
    </row>
    <row r="104" spans="1:7" x14ac:dyDescent="0.25">
      <c r="A104" s="2" t="s">
        <v>6</v>
      </c>
      <c r="B104" s="24" t="str">
        <f>IFERROR(VLOOKUP(C104,'Master Component List'!A:C,3,FALSE),"Other")</f>
        <v>IC</v>
      </c>
      <c r="C104" s="3" t="s">
        <v>164</v>
      </c>
      <c r="D104" s="3" t="str">
        <f>IFERROR(VLOOKUP(C104,'Master Component List'!A:B,2,FALSE),"")</f>
        <v>IC INVERTER SCHMITT 1CH 5SSOP</v>
      </c>
      <c r="E104" s="6">
        <v>1</v>
      </c>
      <c r="F104" s="3" t="s">
        <v>525</v>
      </c>
      <c r="G104" s="3" t="s">
        <v>166</v>
      </c>
    </row>
    <row r="105" spans="1:7" x14ac:dyDescent="0.25">
      <c r="A105" s="8" t="s">
        <v>6</v>
      </c>
      <c r="B105" s="24" t="str">
        <f>IFERROR(VLOOKUP(C105,'Master Component List'!A:C,3,FALSE),"Other")</f>
        <v>Other</v>
      </c>
      <c r="C105" s="9" t="s">
        <v>573</v>
      </c>
      <c r="D105" s="9" t="str">
        <f>IFERROR(VLOOKUP(C105,'Master Component List'!A:B,2,FALSE),"")</f>
        <v/>
      </c>
      <c r="E105" s="11">
        <v>1</v>
      </c>
      <c r="F105" s="9" t="s">
        <v>574</v>
      </c>
      <c r="G105" s="9"/>
    </row>
    <row r="106" spans="1:7" x14ac:dyDescent="0.25">
      <c r="A106" s="2" t="s">
        <v>6</v>
      </c>
      <c r="B106" s="24" t="str">
        <f>IFERROR(VLOOKUP(C106,'Master Component List'!A:C,3,FALSE),"Other")</f>
        <v>IC</v>
      </c>
      <c r="C106" s="3" t="s">
        <v>197</v>
      </c>
      <c r="D106" s="3" t="str">
        <f>IFERROR(VLOOKUP(C106,'Master Component List'!A:B,2,FALSE),"")</f>
        <v>AND Gate IC 4 Channel  14-SOIC</v>
      </c>
      <c r="E106" s="6">
        <v>2</v>
      </c>
      <c r="F106" s="3" t="s">
        <v>575</v>
      </c>
      <c r="G106" s="3" t="s">
        <v>197</v>
      </c>
    </row>
    <row r="107" spans="1:7" x14ac:dyDescent="0.25">
      <c r="A107" s="8" t="s">
        <v>6</v>
      </c>
      <c r="B107" s="24" t="str">
        <f>IFERROR(VLOOKUP(C107,'Master Component List'!A:C,3,FALSE),"Other")</f>
        <v>IC</v>
      </c>
      <c r="C107" s="9" t="s">
        <v>199</v>
      </c>
      <c r="D107" s="9" t="str">
        <f>IFERROR(VLOOKUP(C107,'Master Component List'!A:B,2,FALSE),"")</f>
        <v>Single 2-input positive-OR gate is designed for 1.65-V to 5.5-V VCC operation</v>
      </c>
      <c r="E107" s="11">
        <v>1</v>
      </c>
      <c r="F107" s="9" t="s">
        <v>576</v>
      </c>
      <c r="G107" s="9" t="s">
        <v>199</v>
      </c>
    </row>
    <row r="108" spans="1:7" x14ac:dyDescent="0.25">
      <c r="A108" s="2" t="s">
        <v>6</v>
      </c>
      <c r="B108" s="24" t="str">
        <f>IFERROR(VLOOKUP(C108,'Master Component List'!A:C,3,FALSE),"Other")</f>
        <v>IC</v>
      </c>
      <c r="C108" s="3" t="s">
        <v>207</v>
      </c>
      <c r="D108" s="3" t="str">
        <f>IFERROR(VLOOKUP(C108,'Master Component List'!A:B,2,FALSE),"")</f>
        <v>Comparator, 2 Func, 18000uV Offset-Max, 2000ns Response Time, BICMOS, PDSO8</v>
      </c>
      <c r="E108" s="6">
        <v>6</v>
      </c>
      <c r="F108" s="3" t="s">
        <v>577</v>
      </c>
      <c r="G108" s="3" t="s">
        <v>207</v>
      </c>
    </row>
    <row r="109" spans="1:7" x14ac:dyDescent="0.25">
      <c r="A109" s="8" t="s">
        <v>6</v>
      </c>
      <c r="B109" s="24" t="str">
        <f>IFERROR(VLOOKUP(C109,'Master Component List'!A:C,3,FALSE),"Other")</f>
        <v>IC</v>
      </c>
      <c r="C109" s="9" t="s">
        <v>209</v>
      </c>
      <c r="D109" s="9" t="str">
        <f>IFERROR(VLOOKUP(C109,'Master Component List'!A:B,2,FALSE),"")</f>
        <v>Operational Amplifier, 2 Func, 450uV Offset-Max, PDSO8</v>
      </c>
      <c r="E109" s="11">
        <v>1</v>
      </c>
      <c r="F109" s="9" t="s">
        <v>516</v>
      </c>
      <c r="G109" s="9" t="s">
        <v>209</v>
      </c>
    </row>
    <row r="110" spans="1:7" x14ac:dyDescent="0.25">
      <c r="A110" s="2" t="s">
        <v>6</v>
      </c>
      <c r="B110" s="25" t="str">
        <f>IFERROR(VLOOKUP(C110,'Master Component List'!A:C,3,FALSE),"Other")</f>
        <v>Inductor</v>
      </c>
      <c r="C110" s="3" t="s">
        <v>218</v>
      </c>
      <c r="D110" s="3" t="str">
        <f>IFERROR(VLOOKUP(C110,'Master Component List'!A:B,2,FALSE),"")</f>
        <v>General Purpose Inductor, 3.6uH, 20%, 1 Element, Ferrite-Core, SMD, 4040</v>
      </c>
      <c r="E110" s="6">
        <v>1</v>
      </c>
      <c r="F110" s="3" t="s">
        <v>528</v>
      </c>
      <c r="G110" s="3" t="s">
        <v>218</v>
      </c>
    </row>
    <row r="111" spans="1:7" x14ac:dyDescent="0.25">
      <c r="A111" s="8" t="s">
        <v>6</v>
      </c>
      <c r="B111" s="26" t="str">
        <f>IFERROR(VLOOKUP(C111,'Master Component List'!A:C,3,FALSE),"Other")</f>
        <v>LED</v>
      </c>
      <c r="C111" s="9" t="s">
        <v>232</v>
      </c>
      <c r="D111" s="9" t="str">
        <f>IFERROR(VLOOKUP(C111,'Master Component List'!A:B,2,FALSE),"")</f>
        <v>LED Blue 0603</v>
      </c>
      <c r="E111" s="11">
        <v>2</v>
      </c>
      <c r="F111" s="9" t="s">
        <v>578</v>
      </c>
      <c r="G111" s="9" t="s">
        <v>233</v>
      </c>
    </row>
    <row r="112" spans="1:7" x14ac:dyDescent="0.25">
      <c r="A112" s="2" t="s">
        <v>6</v>
      </c>
      <c r="B112" s="26" t="str">
        <f>IFERROR(VLOOKUP(C112,'Master Component List'!A:C,3,FALSE),"Other")</f>
        <v>LED</v>
      </c>
      <c r="C112" s="3" t="s">
        <v>234</v>
      </c>
      <c r="D112" s="3" t="str">
        <f>IFERROR(VLOOKUP(C112,'Master Component List'!A:B,2,FALSE),"")</f>
        <v>LED Green 0603</v>
      </c>
      <c r="E112" s="6">
        <v>8</v>
      </c>
      <c r="F112" s="3" t="s">
        <v>579</v>
      </c>
      <c r="G112" s="3" t="s">
        <v>235</v>
      </c>
    </row>
    <row r="113" spans="1:7" x14ac:dyDescent="0.25">
      <c r="A113" s="8" t="s">
        <v>6</v>
      </c>
      <c r="B113" s="11" t="str">
        <f>IFERROR(VLOOKUP(C113,'Master Component List'!A:C,3,FALSE),"Other")</f>
        <v>Other</v>
      </c>
      <c r="C113" s="9" t="s">
        <v>243</v>
      </c>
      <c r="D113" s="9" t="str">
        <f>IFERROR(VLOOKUP(C113,'Master Component List'!A:B,2,FALSE),"")</f>
        <v>WR-MPC3 Dual Row Right Angled Header with Plastic Pegs, THT, pitch 3mm, 2pins</v>
      </c>
      <c r="E113" s="11">
        <v>2</v>
      </c>
      <c r="F113" s="9" t="s">
        <v>580</v>
      </c>
      <c r="G113" s="9" t="s">
        <v>246</v>
      </c>
    </row>
    <row r="114" spans="1:7" x14ac:dyDescent="0.25">
      <c r="A114" s="2" t="s">
        <v>6</v>
      </c>
      <c r="B114" s="11" t="str">
        <f>IFERROR(VLOOKUP(C114,'Master Component List'!A:C,3,FALSE),"Other")</f>
        <v>Connector</v>
      </c>
      <c r="C114" s="3" t="s">
        <v>102</v>
      </c>
      <c r="D114" s="3" t="str">
        <f>IFERROR(VLOOKUP(C114,'Master Component List'!A:B,2,FALSE),"")</f>
        <v>WR-MPC3 Dual Row Right Angled Header with Plastic Pegs, THT, pitch 3mm, 4pins</v>
      </c>
      <c r="E114" s="6">
        <v>1</v>
      </c>
      <c r="F114" s="3" t="s">
        <v>581</v>
      </c>
      <c r="G114" s="3" t="s">
        <v>104</v>
      </c>
    </row>
    <row r="115" spans="1:7" x14ac:dyDescent="0.25">
      <c r="A115" s="8" t="s">
        <v>6</v>
      </c>
      <c r="B115" s="11" t="str">
        <f>IFERROR(VLOOKUP(C115,'Master Component List'!A:C,3,FALSE),"Other")</f>
        <v>Other</v>
      </c>
      <c r="C115" s="9" t="s">
        <v>249</v>
      </c>
      <c r="D115" s="9" t="str">
        <f>IFERROR(VLOOKUP(C115,'Master Component List'!A:B,2,FALSE),"")</f>
        <v>WR-MPC3 Dual Row Right Angled Header with Plastic Pegs, THT, pitch 3mm, 8pins</v>
      </c>
      <c r="E115" s="11">
        <v>1</v>
      </c>
      <c r="F115" s="9" t="s">
        <v>582</v>
      </c>
      <c r="G115" s="9" t="s">
        <v>251</v>
      </c>
    </row>
    <row r="116" spans="1:7" x14ac:dyDescent="0.25">
      <c r="A116" s="2" t="s">
        <v>6</v>
      </c>
      <c r="B116" s="11" t="str">
        <f>IFERROR(VLOOKUP(C116,'Master Component List'!A:C,3,FALSE),"Other")</f>
        <v>Other</v>
      </c>
      <c r="C116" s="3" t="s">
        <v>267</v>
      </c>
      <c r="D116" s="3" t="str">
        <f>IFERROR(VLOOKUP(C116,'Master Component List'!A:B,2,FALSE),"")</f>
        <v>Low Signal Relay 12VDC Coil 8-Blade Terminal 125VAC/DC 2A 2 Poles PCB Mounting DPDT</v>
      </c>
      <c r="E116" s="6">
        <v>2</v>
      </c>
      <c r="F116" s="3" t="s">
        <v>583</v>
      </c>
      <c r="G116" s="3" t="s">
        <v>267</v>
      </c>
    </row>
    <row r="117" spans="1:7" x14ac:dyDescent="0.25">
      <c r="A117" s="8" t="s">
        <v>6</v>
      </c>
      <c r="B117" s="11" t="str">
        <f>IFERROR(VLOOKUP(C117,'Master Component List'!A:C,3,FALSE),"Other")</f>
        <v>Other</v>
      </c>
      <c r="C117" s="9" t="s">
        <v>584</v>
      </c>
      <c r="D117" s="9" t="str">
        <f>IFERROR(VLOOKUP(C117,'Master Component List'!A:B,2,FALSE),"")</f>
        <v/>
      </c>
      <c r="E117" s="11">
        <v>4</v>
      </c>
      <c r="F117" s="9" t="s">
        <v>585</v>
      </c>
      <c r="G117" s="9"/>
    </row>
    <row r="118" spans="1:7" x14ac:dyDescent="0.25">
      <c r="A118" s="2" t="s">
        <v>6</v>
      </c>
      <c r="B118" s="11" t="str">
        <f>IFERROR(VLOOKUP(C118,'Master Component List'!A:C,3,FALSE),"Other")</f>
        <v>Other</v>
      </c>
      <c r="C118" s="3" t="s">
        <v>272</v>
      </c>
      <c r="D118" s="3" t="str">
        <f>IFERROR(VLOOKUP(C118,'Master Component List'!A:B,2,FALSE),"")</f>
        <v>TP 1.6mm Red</v>
      </c>
      <c r="E118" s="6">
        <v>1</v>
      </c>
      <c r="F118" s="3" t="s">
        <v>586</v>
      </c>
      <c r="G118" s="3" t="s">
        <v>273</v>
      </c>
    </row>
    <row r="119" spans="1:7" x14ac:dyDescent="0.25">
      <c r="A119" s="8" t="s">
        <v>6</v>
      </c>
      <c r="B119" s="27" t="str">
        <f>IFERROR(VLOOKUP(C119,'Master Component List'!A:C,3,FALSE),"Other")</f>
        <v>Resistor</v>
      </c>
      <c r="C119" s="9" t="s">
        <v>286</v>
      </c>
      <c r="D119" s="9" t="str">
        <f>IFERROR(VLOOKUP(C119,'Master Component List'!A:B,2,FALSE),"")</f>
        <v>100R 1% 0603</v>
      </c>
      <c r="E119" s="11">
        <v>4</v>
      </c>
      <c r="F119" s="9" t="s">
        <v>587</v>
      </c>
      <c r="G119" s="9" t="s">
        <v>287</v>
      </c>
    </row>
    <row r="120" spans="1:7" x14ac:dyDescent="0.25">
      <c r="A120" s="2" t="s">
        <v>6</v>
      </c>
      <c r="B120" s="27" t="str">
        <f>IFERROR(VLOOKUP(C120,'Master Component List'!A:C,3,FALSE),"Other")</f>
        <v>Resistor</v>
      </c>
      <c r="C120" s="3" t="s">
        <v>290</v>
      </c>
      <c r="D120" s="3" t="str">
        <f>IFERROR(VLOOKUP(C120,'Master Component List'!A:B,2,FALSE),"")</f>
        <v>100k 1% 0603 250mW</v>
      </c>
      <c r="E120" s="6">
        <v>11</v>
      </c>
      <c r="F120" s="3" t="s">
        <v>588</v>
      </c>
      <c r="G120" s="3" t="s">
        <v>292</v>
      </c>
    </row>
    <row r="121" spans="1:7" x14ac:dyDescent="0.25">
      <c r="A121" s="8" t="s">
        <v>6</v>
      </c>
      <c r="B121" s="27" t="str">
        <f>IFERROR(VLOOKUP(C121,'Master Component List'!A:C,3,FALSE),"Other")</f>
        <v>Resistor</v>
      </c>
      <c r="C121" s="9" t="s">
        <v>301</v>
      </c>
      <c r="D121" s="9" t="str">
        <f>IFERROR(VLOOKUP(C121,'Master Component List'!A:B,2,FALSE),"")</f>
        <v>10k 1% 0603 100mW</v>
      </c>
      <c r="E121" s="11">
        <v>4</v>
      </c>
      <c r="F121" s="9" t="s">
        <v>589</v>
      </c>
      <c r="G121" s="9" t="s">
        <v>303</v>
      </c>
    </row>
    <row r="122" spans="1:7" x14ac:dyDescent="0.25">
      <c r="A122" s="2" t="s">
        <v>6</v>
      </c>
      <c r="B122" s="27" t="str">
        <f>IFERROR(VLOOKUP(C122,'Master Component List'!A:C,3,FALSE),"Other")</f>
        <v>Resistor</v>
      </c>
      <c r="C122" s="3" t="s">
        <v>306</v>
      </c>
      <c r="D122" s="3" t="str">
        <f>IFERROR(VLOOKUP(C122,'Master Component List'!A:B,2,FALSE),"")</f>
        <v>115k 0.1% 0603 100mW</v>
      </c>
      <c r="E122" s="6">
        <v>1</v>
      </c>
      <c r="F122" s="3" t="s">
        <v>590</v>
      </c>
      <c r="G122" s="3" t="s">
        <v>308</v>
      </c>
    </row>
    <row r="123" spans="1:7" x14ac:dyDescent="0.25">
      <c r="A123" s="8" t="s">
        <v>6</v>
      </c>
      <c r="B123" s="27" t="str">
        <f>IFERROR(VLOOKUP(C123,'Master Component List'!A:C,3,FALSE),"Other")</f>
        <v>Resistor</v>
      </c>
      <c r="C123" s="9" t="s">
        <v>315</v>
      </c>
      <c r="D123" s="9" t="str">
        <f>IFERROR(VLOOKUP(C123,'Master Component List'!A:B,2,FALSE),"")</f>
        <v>Res Thin Film 0603 140K Ohm 0.1% 0.1W(1/10W) ±25ppm/°C Molded SMD Punched Carrier T/R</v>
      </c>
      <c r="E123" s="11">
        <v>1</v>
      </c>
      <c r="F123" s="9" t="s">
        <v>591</v>
      </c>
      <c r="G123" s="9" t="s">
        <v>311</v>
      </c>
    </row>
    <row r="124" spans="1:7" x14ac:dyDescent="0.25">
      <c r="A124" s="2" t="s">
        <v>6</v>
      </c>
      <c r="B124" s="27" t="str">
        <f>IFERROR(VLOOKUP(C124,'Master Component List'!A:C,3,FALSE),"Other")</f>
        <v>Resistor</v>
      </c>
      <c r="C124" s="3" t="s">
        <v>323</v>
      </c>
      <c r="D124" s="3" t="str">
        <f>IFERROR(VLOOKUP(C124,'Master Component List'!A:B,2,FALSE),"")</f>
        <v>15k8 1% 0603</v>
      </c>
      <c r="E124" s="6">
        <v>1</v>
      </c>
      <c r="F124" s="3" t="s">
        <v>592</v>
      </c>
      <c r="G124" s="3" t="s">
        <v>324</v>
      </c>
    </row>
    <row r="125" spans="1:7" x14ac:dyDescent="0.25">
      <c r="A125" s="8" t="s">
        <v>6</v>
      </c>
      <c r="B125" s="27" t="str">
        <f>IFERROR(VLOOKUP(C125,'Master Component List'!A:C,3,FALSE),"Other")</f>
        <v>Resistor</v>
      </c>
      <c r="C125" s="9" t="s">
        <v>327</v>
      </c>
      <c r="D125" s="9" t="str">
        <f>IFERROR(VLOOKUP(C125,'Master Component List'!A:B,2,FALSE),"")</f>
        <v>1k 1% 0603 250mW</v>
      </c>
      <c r="E125" s="11">
        <v>2</v>
      </c>
      <c r="F125" s="9" t="s">
        <v>593</v>
      </c>
      <c r="G125" s="9" t="s">
        <v>329</v>
      </c>
    </row>
    <row r="126" spans="1:7" x14ac:dyDescent="0.25">
      <c r="A126" s="2" t="s">
        <v>6</v>
      </c>
      <c r="B126" s="27" t="str">
        <f>IFERROR(VLOOKUP(C126,'Master Component List'!A:C,3,FALSE),"Other")</f>
        <v>Resistor</v>
      </c>
      <c r="C126" s="3" t="s">
        <v>340</v>
      </c>
      <c r="D126" s="3" t="str">
        <f>IFERROR(VLOOKUP(C126,'Master Component List'!A:B,2,FALSE),"")</f>
        <v>200k 1% 0603 100mW</v>
      </c>
      <c r="E126" s="6">
        <v>1</v>
      </c>
      <c r="F126" s="3" t="s">
        <v>594</v>
      </c>
      <c r="G126" s="3" t="s">
        <v>342</v>
      </c>
    </row>
    <row r="127" spans="1:7" x14ac:dyDescent="0.25">
      <c r="A127" s="8" t="s">
        <v>6</v>
      </c>
      <c r="B127" s="27" t="str">
        <f>IFERROR(VLOOKUP(C127,'Master Component List'!A:C,3,FALSE),"Other")</f>
        <v>Resistor</v>
      </c>
      <c r="C127" s="9" t="s">
        <v>343</v>
      </c>
      <c r="D127" s="9" t="str">
        <f>IFERROR(VLOOKUP(C127,'Master Component List'!A:B,2,FALSE),"")</f>
        <v>20R 2W 2512 1%</v>
      </c>
      <c r="E127" s="11">
        <v>4</v>
      </c>
      <c r="F127" s="9" t="s">
        <v>595</v>
      </c>
      <c r="G127" s="9" t="s">
        <v>344</v>
      </c>
    </row>
    <row r="128" spans="1:7" x14ac:dyDescent="0.25">
      <c r="A128" s="2" t="s">
        <v>6</v>
      </c>
      <c r="B128" s="27" t="str">
        <f>IFERROR(VLOOKUP(C128,'Master Component List'!A:C,3,FALSE),"Other")</f>
        <v>Resistor</v>
      </c>
      <c r="C128" s="3" t="s">
        <v>345</v>
      </c>
      <c r="D128" s="3" t="str">
        <f>IFERROR(VLOOKUP(C128,'Master Component List'!A:B,2,FALSE),"")</f>
        <v>20k 1% 0603 0.1 mW</v>
      </c>
      <c r="E128" s="6">
        <v>2</v>
      </c>
      <c r="F128" s="3" t="s">
        <v>596</v>
      </c>
      <c r="G128" s="3" t="s">
        <v>347</v>
      </c>
    </row>
    <row r="129" spans="1:7" x14ac:dyDescent="0.25">
      <c r="A129" s="8" t="s">
        <v>6</v>
      </c>
      <c r="B129" s="27" t="str">
        <f>IFERROR(VLOOKUP(C129,'Master Component List'!A:C,3,FALSE),"Other")</f>
        <v>Resistor</v>
      </c>
      <c r="C129" s="9" t="s">
        <v>366</v>
      </c>
      <c r="D129" s="9" t="str">
        <f>IFERROR(VLOOKUP(C129,'Master Component List'!A:B,2,FALSE),"")</f>
        <v>2M2 1% 0603 250mW</v>
      </c>
      <c r="E129" s="11">
        <v>5</v>
      </c>
      <c r="F129" s="9" t="s">
        <v>597</v>
      </c>
      <c r="G129" s="9" t="s">
        <v>368</v>
      </c>
    </row>
    <row r="130" spans="1:7" x14ac:dyDescent="0.25">
      <c r="A130" s="2" t="s">
        <v>6</v>
      </c>
      <c r="B130" s="27" t="str">
        <f>IFERROR(VLOOKUP(C130,'Master Component List'!A:C,3,FALSE),"Other")</f>
        <v>Resistor</v>
      </c>
      <c r="C130" s="3" t="s">
        <v>372</v>
      </c>
      <c r="D130" s="3" t="str">
        <f>IFERROR(VLOOKUP(C130,'Master Component List'!A:B,2,FALSE),"")</f>
        <v>2k 1% 1206 1/2W</v>
      </c>
      <c r="E130" s="6">
        <v>1</v>
      </c>
      <c r="F130" s="3" t="s">
        <v>598</v>
      </c>
      <c r="G130" s="3" t="s">
        <v>373</v>
      </c>
    </row>
    <row r="131" spans="1:7" x14ac:dyDescent="0.25">
      <c r="A131" s="8" t="s">
        <v>6</v>
      </c>
      <c r="B131" s="27" t="str">
        <f>IFERROR(VLOOKUP(C131,'Master Component List'!A:C,3,FALSE),"Other")</f>
        <v>Resistor</v>
      </c>
      <c r="C131" s="9" t="s">
        <v>377</v>
      </c>
      <c r="D131" s="9" t="str">
        <f>IFERROR(VLOOKUP(C131,'Master Component List'!A:B,2,FALSE),"")</f>
        <v>2k2, 1%, 0603 250mW</v>
      </c>
      <c r="E131" s="11">
        <v>15</v>
      </c>
      <c r="F131" s="9" t="s">
        <v>599</v>
      </c>
      <c r="G131" s="9" t="s">
        <v>379</v>
      </c>
    </row>
    <row r="132" spans="1:7" x14ac:dyDescent="0.25">
      <c r="A132" s="2" t="s">
        <v>6</v>
      </c>
      <c r="B132" s="27" t="str">
        <f>IFERROR(VLOOKUP(C132,'Master Component List'!A:C,3,FALSE),"Other")</f>
        <v>Resistor</v>
      </c>
      <c r="C132" s="3" t="s">
        <v>382</v>
      </c>
      <c r="D132" s="3" t="str">
        <f>IFERROR(VLOOKUP(C132,'Master Component List'!A:B,2,FALSE),"")</f>
        <v>SMD Cermet Trimmer Resistor w/J-Hook Term.; 10kOhm +/-20% 0.125W +/-150ppm/degC</v>
      </c>
      <c r="E132" s="6">
        <v>1</v>
      </c>
      <c r="F132" s="3" t="s">
        <v>600</v>
      </c>
      <c r="G132" s="3" t="s">
        <v>382</v>
      </c>
    </row>
    <row r="133" spans="1:7" x14ac:dyDescent="0.25">
      <c r="A133" s="8" t="s">
        <v>6</v>
      </c>
      <c r="B133" s="27" t="str">
        <f>IFERROR(VLOOKUP(C133,'Master Component List'!A:C,3,FALSE),"Other")</f>
        <v>Resistor</v>
      </c>
      <c r="C133" s="9" t="s">
        <v>389</v>
      </c>
      <c r="D133" s="9" t="str">
        <f>IFERROR(VLOOKUP(C133,'Master Component List'!A:B,2,FALSE),"")</f>
        <v>3k3 1% 0603 0.1 mW</v>
      </c>
      <c r="E133" s="11">
        <v>11</v>
      </c>
      <c r="F133" s="9" t="s">
        <v>601</v>
      </c>
      <c r="G133" s="9" t="s">
        <v>391</v>
      </c>
    </row>
    <row r="134" spans="1:7" x14ac:dyDescent="0.25">
      <c r="A134" s="2" t="s">
        <v>6</v>
      </c>
      <c r="B134" s="27" t="str">
        <f>IFERROR(VLOOKUP(C134,'Master Component List'!A:C,3,FALSE),"Other")</f>
        <v>Resistor</v>
      </c>
      <c r="C134" s="3" t="s">
        <v>405</v>
      </c>
      <c r="D134" s="3" t="str">
        <f>IFERROR(VLOOKUP(C134,'Master Component List'!A:B,2,FALSE),"")</f>
        <v>4k7 1% 0603</v>
      </c>
      <c r="E134" s="6">
        <v>1</v>
      </c>
      <c r="F134" s="3" t="s">
        <v>602</v>
      </c>
      <c r="G134" s="3" t="s">
        <v>406</v>
      </c>
    </row>
    <row r="135" spans="1:7" x14ac:dyDescent="0.25">
      <c r="A135" s="8" t="s">
        <v>6</v>
      </c>
      <c r="B135" s="27" t="str">
        <f>IFERROR(VLOOKUP(C135,'Master Component List'!A:C,3,FALSE),"Other")</f>
        <v>Resistor</v>
      </c>
      <c r="C135" s="9" t="s">
        <v>412</v>
      </c>
      <c r="D135" s="9" t="str">
        <f>IFERROR(VLOOKUP(C135,'Master Component List'!A:B,2,FALSE),"")</f>
        <v>5k1 1% 0603 100 mW</v>
      </c>
      <c r="E135" s="11">
        <v>4</v>
      </c>
      <c r="F135" s="9" t="s">
        <v>603</v>
      </c>
      <c r="G135" s="9" t="s">
        <v>414</v>
      </c>
    </row>
    <row r="136" spans="1:7" x14ac:dyDescent="0.25">
      <c r="A136" s="2" t="s">
        <v>6</v>
      </c>
      <c r="B136" s="27" t="str">
        <f>IFERROR(VLOOKUP(C136,'Master Component List'!A:C,3,FALSE),"Other")</f>
        <v>Resistor</v>
      </c>
      <c r="C136" s="3" t="s">
        <v>417</v>
      </c>
      <c r="D136" s="3" t="str">
        <f>IFERROR(VLOOKUP(C136,'Master Component List'!A:B,2,FALSE),"")</f>
        <v>68k 1% 0603  100mW</v>
      </c>
      <c r="E136" s="6">
        <v>1</v>
      </c>
      <c r="F136" s="3" t="s">
        <v>604</v>
      </c>
      <c r="G136" s="3" t="s">
        <v>419</v>
      </c>
    </row>
    <row r="137" spans="1:7" x14ac:dyDescent="0.25">
      <c r="A137" s="8" t="s">
        <v>6</v>
      </c>
      <c r="B137" s="28" t="str">
        <f>IFERROR(VLOOKUP(C137,'Master Component List'!A:C,3,FALSE),"Other")</f>
        <v>Transistor</v>
      </c>
      <c r="C137" s="9" t="s">
        <v>448</v>
      </c>
      <c r="D137" s="9" t="str">
        <f>IFERROR(VLOOKUP(C137,'Master Component List'!A:B,2,FALSE),"")</f>
        <v>N-Channel 60V 300mA (Ta) 350mW (Ta) Surface Mount SOT-23 (TO-236AB)</v>
      </c>
      <c r="E137" s="11">
        <v>1</v>
      </c>
      <c r="F137" s="9" t="s">
        <v>605</v>
      </c>
      <c r="G137" s="9" t="s">
        <v>452</v>
      </c>
    </row>
    <row r="138" spans="1:7" x14ac:dyDescent="0.25">
      <c r="A138" s="2" t="s">
        <v>6</v>
      </c>
      <c r="B138" s="28" t="str">
        <f>IFERROR(VLOOKUP(C138,'Master Component List'!A:C,3,FALSE),"Other")</f>
        <v>Transistor</v>
      </c>
      <c r="C138" s="3" t="s">
        <v>466</v>
      </c>
      <c r="D138" s="3" t="str">
        <f>IFERROR(VLOOKUP(C138,'Master Component List'!A:B,2,FALSE),"")</f>
        <v>Transistor Gp Bjt NPN 40V 0.2A 3-PIN SOT-23 T/r</v>
      </c>
      <c r="E138" s="6">
        <v>1</v>
      </c>
      <c r="F138" s="3" t="s">
        <v>606</v>
      </c>
      <c r="G138" s="3" t="s">
        <v>466</v>
      </c>
    </row>
    <row r="139" spans="1:7" x14ac:dyDescent="0.25">
      <c r="A139" s="8" t="s">
        <v>7</v>
      </c>
      <c r="B139" s="21" t="str">
        <f>IFERROR(VLOOKUP(C139,'Master Component List'!A:C,3,FALSE),"Other")</f>
        <v>Capacitor</v>
      </c>
      <c r="C139" s="9" t="s">
        <v>22</v>
      </c>
      <c r="D139" s="9" t="str">
        <f>IFERROR(VLOOKUP(C139,'Master Component List'!A:B,2,FALSE),"")</f>
        <v>100nF 25V X7R 0603</v>
      </c>
      <c r="E139" s="11">
        <v>4</v>
      </c>
      <c r="F139" s="9" t="s">
        <v>607</v>
      </c>
      <c r="G139" s="9" t="s">
        <v>23</v>
      </c>
    </row>
    <row r="140" spans="1:7" x14ac:dyDescent="0.25">
      <c r="A140" s="2" t="s">
        <v>7</v>
      </c>
      <c r="B140" s="21" t="str">
        <f>IFERROR(VLOOKUP(C140,'Master Component List'!A:C,3,FALSE),"Other")</f>
        <v>Capacitor</v>
      </c>
      <c r="C140" s="3" t="s">
        <v>24</v>
      </c>
      <c r="D140" s="3" t="str">
        <f>IFERROR(VLOOKUP(C140,'Master Component List'!A:B,2,FALSE),"")</f>
        <v>100nF 50V X7R 0603</v>
      </c>
      <c r="E140" s="6">
        <v>7</v>
      </c>
      <c r="F140" s="3" t="s">
        <v>608</v>
      </c>
      <c r="G140" s="3" t="s">
        <v>25</v>
      </c>
    </row>
    <row r="141" spans="1:7" x14ac:dyDescent="0.25">
      <c r="A141" s="8" t="s">
        <v>7</v>
      </c>
      <c r="B141" s="21" t="str">
        <f>IFERROR(VLOOKUP(C141,'Master Component List'!A:C,3,FALSE),"Other")</f>
        <v>Capacitor</v>
      </c>
      <c r="C141" s="9" t="s">
        <v>30</v>
      </c>
      <c r="D141" s="9" t="str">
        <f>IFERROR(VLOOKUP(C141,'Master Component List'!A:B,2,FALSE),"")</f>
        <v>Ceramic Capacitor, Multilayer, Ceramic, 50V, 5% +Tol, 5% -Tol, C0G, 30ppm/Cel TC, 0.01uF, Surface Mount, 0603</v>
      </c>
      <c r="E141" s="11">
        <v>2</v>
      </c>
      <c r="F141" s="9" t="s">
        <v>609</v>
      </c>
      <c r="G141" s="9" t="s">
        <v>32</v>
      </c>
    </row>
    <row r="142" spans="1:7" x14ac:dyDescent="0.25">
      <c r="A142" s="2" t="s">
        <v>7</v>
      </c>
      <c r="B142" s="21" t="str">
        <f>IFERROR(VLOOKUP(C142,'Master Component List'!A:C,3,FALSE),"Other")</f>
        <v>Capacitor</v>
      </c>
      <c r="C142" s="3" t="s">
        <v>37</v>
      </c>
      <c r="D142" s="3" t="str">
        <f>IFERROR(VLOOKUP(C142,'Master Component List'!A:B,2,FALSE),"")</f>
        <v>10uF 50V X7R 1206</v>
      </c>
      <c r="E142" s="6">
        <v>2</v>
      </c>
      <c r="F142" s="3" t="s">
        <v>610</v>
      </c>
      <c r="G142" s="3" t="s">
        <v>38</v>
      </c>
    </row>
    <row r="143" spans="1:7" x14ac:dyDescent="0.25">
      <c r="A143" s="8" t="s">
        <v>7</v>
      </c>
      <c r="B143" s="22" t="str">
        <f>IFERROR(VLOOKUP(C143,'Master Component List'!A:C,3,FALSE),"Other")</f>
        <v>Other</v>
      </c>
      <c r="C143" s="9" t="s">
        <v>611</v>
      </c>
      <c r="D143" s="9" t="str">
        <f>IFERROR(VLOOKUP(C143,'Master Component List'!A:B,2,FALSE),"")</f>
        <v/>
      </c>
      <c r="E143" s="11">
        <v>1</v>
      </c>
      <c r="F143" s="9" t="s">
        <v>476</v>
      </c>
      <c r="G143" s="9"/>
    </row>
    <row r="144" spans="1:7" x14ac:dyDescent="0.25">
      <c r="A144" s="2" t="s">
        <v>7</v>
      </c>
      <c r="B144" s="23" t="str">
        <f>IFERROR(VLOOKUP(C144,'Master Component List'!A:C,3,FALSE),"Other")</f>
        <v>Diode</v>
      </c>
      <c r="C144" s="3" t="s">
        <v>125</v>
      </c>
      <c r="D144" s="3" t="str">
        <f>IFERROR(VLOOKUP(C144,'Master Component List'!A:B,2,FALSE),"")</f>
        <v>WE-TVS TVS Diode – Standard Series, DFN1610-2L, 1 Channel, 5V, 140pF</v>
      </c>
      <c r="E144" s="6">
        <v>4</v>
      </c>
      <c r="F144" s="3" t="s">
        <v>612</v>
      </c>
      <c r="G144" s="3" t="s">
        <v>125</v>
      </c>
    </row>
    <row r="145" spans="1:7" x14ac:dyDescent="0.25">
      <c r="A145" s="8" t="s">
        <v>7</v>
      </c>
      <c r="B145" s="23" t="str">
        <f>IFERROR(VLOOKUP(C145,'Master Component List'!A:C,3,FALSE),"Other")</f>
        <v>Diode</v>
      </c>
      <c r="C145" s="9" t="s">
        <v>129</v>
      </c>
      <c r="D145" s="9" t="str">
        <f>IFERROR(VLOOKUP(C145,'Master Component List'!A:B,2,FALSE),"")</f>
        <v>824501500 WE-TVSP Power TVS Diode</v>
      </c>
      <c r="E145" s="11">
        <v>1</v>
      </c>
      <c r="F145" s="9" t="s">
        <v>509</v>
      </c>
      <c r="G145" s="9" t="s">
        <v>129</v>
      </c>
    </row>
    <row r="146" spans="1:7" x14ac:dyDescent="0.25">
      <c r="A146" s="2" t="s">
        <v>7</v>
      </c>
      <c r="B146" s="24" t="str">
        <f>IFERROR(VLOOKUP(C146,'Master Component List'!A:C,3,FALSE),"Other")</f>
        <v>IC</v>
      </c>
      <c r="C146" s="3" t="s">
        <v>197</v>
      </c>
      <c r="D146" s="3" t="str">
        <f>IFERROR(VLOOKUP(C146,'Master Component List'!A:B,2,FALSE),"")</f>
        <v>AND Gate IC 4 Channel  14-SOIC</v>
      </c>
      <c r="E146" s="6">
        <v>1</v>
      </c>
      <c r="F146" s="3" t="s">
        <v>613</v>
      </c>
      <c r="G146" s="3" t="s">
        <v>197</v>
      </c>
    </row>
    <row r="147" spans="1:7" x14ac:dyDescent="0.25">
      <c r="A147" s="8" t="s">
        <v>7</v>
      </c>
      <c r="B147" s="24" t="str">
        <f>IFERROR(VLOOKUP(C147,'Master Component List'!A:C,3,FALSE),"Other")</f>
        <v>IC</v>
      </c>
      <c r="C147" s="9" t="s">
        <v>207</v>
      </c>
      <c r="D147" s="9" t="str">
        <f>IFERROR(VLOOKUP(C147,'Master Component List'!A:B,2,FALSE),"")</f>
        <v>Comparator, 2 Func, 18000uV Offset-Max, 2000ns Response Time, BICMOS, PDSO8</v>
      </c>
      <c r="E147" s="11">
        <v>3</v>
      </c>
      <c r="F147" s="9" t="s">
        <v>614</v>
      </c>
      <c r="G147" s="9" t="s">
        <v>207</v>
      </c>
    </row>
    <row r="148" spans="1:7" x14ac:dyDescent="0.25">
      <c r="A148" s="2" t="s">
        <v>7</v>
      </c>
      <c r="B148" s="24" t="str">
        <f>IFERROR(VLOOKUP(C148,'Master Component List'!A:C,3,FALSE),"Other")</f>
        <v>IC</v>
      </c>
      <c r="C148" s="3" t="s">
        <v>209</v>
      </c>
      <c r="D148" s="3" t="str">
        <f>IFERROR(VLOOKUP(C148,'Master Component List'!A:B,2,FALSE),"")</f>
        <v>Operational Amplifier, 2 Func, 450uV Offset-Max, PDSO8</v>
      </c>
      <c r="E148" s="6">
        <v>1</v>
      </c>
      <c r="F148" s="3" t="s">
        <v>524</v>
      </c>
      <c r="G148" s="3" t="s">
        <v>209</v>
      </c>
    </row>
    <row r="149" spans="1:7" x14ac:dyDescent="0.25">
      <c r="A149" s="8" t="s">
        <v>7</v>
      </c>
      <c r="B149" s="26" t="str">
        <f>IFERROR(VLOOKUP(C149,'Master Component List'!A:C,3,FALSE),"Other")</f>
        <v>LED</v>
      </c>
      <c r="C149" s="9" t="s">
        <v>227</v>
      </c>
      <c r="D149" s="9" t="str">
        <f>IFERROR(VLOOKUP(C149,'Master Component List'!A:B,2,FALSE),"")</f>
        <v>Led, Green, 570 Nm, 2 V, 30 Ma, 40 Mcd Rohs Compliant: Yes</v>
      </c>
      <c r="E149" s="11">
        <v>7</v>
      </c>
      <c r="F149" s="9" t="s">
        <v>615</v>
      </c>
      <c r="G149" s="9" t="s">
        <v>229</v>
      </c>
    </row>
    <row r="150" spans="1:7" x14ac:dyDescent="0.25">
      <c r="A150" s="2" t="s">
        <v>7</v>
      </c>
      <c r="B150" s="11" t="str">
        <f>IFERROR(VLOOKUP(C150,'Master Component List'!A:C,3,FALSE),"Other")</f>
        <v>Other</v>
      </c>
      <c r="C150" s="3" t="s">
        <v>272</v>
      </c>
      <c r="D150" s="3" t="str">
        <f>IFERROR(VLOOKUP(C150,'Master Component List'!A:B,2,FALSE),"")</f>
        <v>TP 1.6mm Red</v>
      </c>
      <c r="E150" s="6">
        <v>1</v>
      </c>
      <c r="F150" s="3" t="s">
        <v>586</v>
      </c>
      <c r="G150" s="3" t="s">
        <v>273</v>
      </c>
    </row>
    <row r="151" spans="1:7" x14ac:dyDescent="0.25">
      <c r="A151" s="8" t="s">
        <v>7</v>
      </c>
      <c r="B151" s="27" t="str">
        <f>IFERROR(VLOOKUP(C151,'Master Component List'!A:C,3,FALSE),"Other")</f>
        <v>Resistor</v>
      </c>
      <c r="C151" s="9" t="s">
        <v>301</v>
      </c>
      <c r="D151" s="9" t="str">
        <f>IFERROR(VLOOKUP(C151,'Master Component List'!A:B,2,FALSE),"")</f>
        <v>10k 1% 0603 100mW</v>
      </c>
      <c r="E151" s="11">
        <v>9</v>
      </c>
      <c r="F151" s="9" t="s">
        <v>616</v>
      </c>
      <c r="G151" s="9" t="s">
        <v>303</v>
      </c>
    </row>
    <row r="152" spans="1:7" x14ac:dyDescent="0.25">
      <c r="A152" s="2" t="s">
        <v>7</v>
      </c>
      <c r="B152" s="27" t="str">
        <f>IFERROR(VLOOKUP(C152,'Master Component List'!A:C,3,FALSE),"Other")</f>
        <v>Resistor</v>
      </c>
      <c r="C152" s="3" t="s">
        <v>327</v>
      </c>
      <c r="D152" s="3" t="str">
        <f>IFERROR(VLOOKUP(C152,'Master Component List'!A:B,2,FALSE),"")</f>
        <v>1k 1% 0603 250mW</v>
      </c>
      <c r="E152" s="6">
        <v>4</v>
      </c>
      <c r="F152" s="3" t="s">
        <v>617</v>
      </c>
      <c r="G152" s="3" t="s">
        <v>329</v>
      </c>
    </row>
    <row r="153" spans="1:7" x14ac:dyDescent="0.25">
      <c r="A153" s="8" t="s">
        <v>7</v>
      </c>
      <c r="B153" s="27" t="str">
        <f>IFERROR(VLOOKUP(C153,'Master Component List'!A:C,3,FALSE),"Other")</f>
        <v>Resistor</v>
      </c>
      <c r="C153" s="9" t="s">
        <v>345</v>
      </c>
      <c r="D153" s="9" t="str">
        <f>IFERROR(VLOOKUP(C153,'Master Component List'!A:B,2,FALSE),"")</f>
        <v>20k 1% 0603 0.1 mW</v>
      </c>
      <c r="E153" s="11">
        <v>2</v>
      </c>
      <c r="F153" s="9" t="s">
        <v>618</v>
      </c>
      <c r="G153" s="9" t="s">
        <v>347</v>
      </c>
    </row>
    <row r="154" spans="1:7" x14ac:dyDescent="0.25">
      <c r="A154" s="2" t="s">
        <v>7</v>
      </c>
      <c r="B154" s="27" t="str">
        <f>IFERROR(VLOOKUP(C154,'Master Component List'!A:C,3,FALSE),"Other")</f>
        <v>Resistor</v>
      </c>
      <c r="C154" s="3" t="s">
        <v>377</v>
      </c>
      <c r="D154" s="3" t="str">
        <f>IFERROR(VLOOKUP(C154,'Master Component List'!A:B,2,FALSE),"")</f>
        <v>2k2, 1%, 0603 250mW</v>
      </c>
      <c r="E154" s="6">
        <v>11</v>
      </c>
      <c r="F154" s="3" t="s">
        <v>619</v>
      </c>
      <c r="G154" s="3" t="s">
        <v>379</v>
      </c>
    </row>
    <row r="155" spans="1:7" x14ac:dyDescent="0.25">
      <c r="A155" s="8" t="s">
        <v>7</v>
      </c>
      <c r="B155" s="27" t="str">
        <f>IFERROR(VLOOKUP(C155,'Master Component List'!A:C,3,FALSE),"Other")</f>
        <v>Resistor</v>
      </c>
      <c r="C155" s="9" t="s">
        <v>389</v>
      </c>
      <c r="D155" s="9" t="str">
        <f>IFERROR(VLOOKUP(C155,'Master Component List'!A:B,2,FALSE),"")</f>
        <v>3k3 1% 0603 0.1 mW</v>
      </c>
      <c r="E155" s="11">
        <v>4</v>
      </c>
      <c r="F155" s="9" t="s">
        <v>620</v>
      </c>
      <c r="G155" s="9" t="s">
        <v>391</v>
      </c>
    </row>
    <row r="156" spans="1:7" x14ac:dyDescent="0.25">
      <c r="A156" s="2" t="s">
        <v>7</v>
      </c>
      <c r="B156" s="27" t="str">
        <f>IFERROR(VLOOKUP(C156,'Master Component List'!A:C,3,FALSE),"Other")</f>
        <v>Resistor</v>
      </c>
      <c r="C156" s="3" t="s">
        <v>395</v>
      </c>
      <c r="D156" s="3" t="str">
        <f>IFERROR(VLOOKUP(C156,'Master Component List'!A:B,2,FALSE),"")</f>
        <v>3k9 1% 0603 100mW</v>
      </c>
      <c r="E156" s="6">
        <v>4</v>
      </c>
      <c r="F156" s="3" t="s">
        <v>621</v>
      </c>
      <c r="G156" s="3" t="s">
        <v>397</v>
      </c>
    </row>
    <row r="157" spans="1:7" x14ac:dyDescent="0.25">
      <c r="A157" s="8" t="s">
        <v>7</v>
      </c>
      <c r="B157" s="27" t="str">
        <f>IFERROR(VLOOKUP(C157,'Master Component List'!A:C,3,FALSE),"Other")</f>
        <v>Resistor</v>
      </c>
      <c r="C157" s="9" t="s">
        <v>398</v>
      </c>
      <c r="D157" s="9" t="str">
        <f>IFERROR(VLOOKUP(C157,'Master Component List'!A:B,2,FALSE),"")</f>
        <v>Fixed Resistor, Metal Glaze/thick Film, 0.1W, 40200ohm, 75V, 1% +/-Tol, 100ppm/Cel, Surface Mount, 0603</v>
      </c>
      <c r="E157" s="11">
        <v>1</v>
      </c>
      <c r="F157" s="9" t="s">
        <v>622</v>
      </c>
      <c r="G157" s="9" t="s">
        <v>400</v>
      </c>
    </row>
    <row r="158" spans="1:7" x14ac:dyDescent="0.25">
      <c r="A158" s="2" t="s">
        <v>7</v>
      </c>
      <c r="B158" s="27" t="str">
        <f>IFERROR(VLOOKUP(C158,'Master Component List'!A:C,3,FALSE),"Other")</f>
        <v>Resistor</v>
      </c>
      <c r="C158" s="3" t="s">
        <v>440</v>
      </c>
      <c r="D158" s="3" t="str">
        <f>IFERROR(VLOOKUP(C158,'Master Component List'!A:B,2,FALSE),"")</f>
        <v>Trimming Potentiometer, 10000 Ohm, -40 to 100 degC, 3-Pin SMD, RoHS, Tape and Reel</v>
      </c>
      <c r="E158" s="6">
        <v>2</v>
      </c>
      <c r="F158" s="3" t="s">
        <v>623</v>
      </c>
      <c r="G158" s="3" t="s">
        <v>440</v>
      </c>
    </row>
    <row r="159" spans="1:7" x14ac:dyDescent="0.25">
      <c r="A159" s="8" t="s">
        <v>8</v>
      </c>
      <c r="B159" s="21" t="str">
        <f>IFERROR(VLOOKUP(C159,'Master Component List'!A:C,3,FALSE),"Other")</f>
        <v>Capacitor</v>
      </c>
      <c r="C159" s="9" t="s">
        <v>24</v>
      </c>
      <c r="D159" s="9" t="str">
        <f>IFERROR(VLOOKUP(C159,'Master Component List'!A:B,2,FALSE),"")</f>
        <v>100nF 50V X7R 0603</v>
      </c>
      <c r="E159" s="11">
        <v>14</v>
      </c>
      <c r="F159" s="9" t="s">
        <v>624</v>
      </c>
      <c r="G159" s="9"/>
    </row>
    <row r="160" spans="1:7" x14ac:dyDescent="0.25">
      <c r="A160" s="2" t="s">
        <v>8</v>
      </c>
      <c r="B160" s="21" t="str">
        <f>IFERROR(VLOOKUP(C160,'Master Component List'!A:C,3,FALSE),"Other")</f>
        <v>Capacitor</v>
      </c>
      <c r="C160" s="3" t="s">
        <v>26</v>
      </c>
      <c r="D160" s="3" t="str">
        <f>IFERROR(VLOOKUP(C160,'Master Component List'!A:B,2,FALSE),"")</f>
        <v>100pF 100V X7R 0603</v>
      </c>
      <c r="E160" s="6">
        <v>2</v>
      </c>
      <c r="F160" s="3" t="s">
        <v>625</v>
      </c>
      <c r="G160" s="3" t="s">
        <v>27</v>
      </c>
    </row>
    <row r="161" spans="1:7" x14ac:dyDescent="0.25">
      <c r="A161" s="8" t="s">
        <v>8</v>
      </c>
      <c r="B161" s="21" t="str">
        <f>IFERROR(VLOOKUP(C161,'Master Component List'!A:C,3,FALSE),"Other")</f>
        <v>Capacitor</v>
      </c>
      <c r="C161" s="9" t="s">
        <v>33</v>
      </c>
      <c r="D161" s="9" t="str">
        <f>IFERROR(VLOOKUP(C161,'Master Component List'!A:B,2,FALSE),"")</f>
        <v>10nF 50V X7R 0603</v>
      </c>
      <c r="E161" s="11">
        <v>28</v>
      </c>
      <c r="F161" s="9" t="s">
        <v>626</v>
      </c>
      <c r="G161" s="9" t="s">
        <v>34</v>
      </c>
    </row>
    <row r="162" spans="1:7" x14ac:dyDescent="0.25">
      <c r="A162" s="2" t="s">
        <v>8</v>
      </c>
      <c r="B162" s="21" t="str">
        <f>IFERROR(VLOOKUP(C162,'Master Component List'!A:C,3,FALSE),"Other")</f>
        <v>Capacitor</v>
      </c>
      <c r="C162" s="3" t="s">
        <v>41</v>
      </c>
      <c r="D162" s="3" t="str">
        <f>IFERROR(VLOOKUP(C162,'Master Component List'!A:B,2,FALSE),"")</f>
        <v>1uF 25V X7R 0603 10%</v>
      </c>
      <c r="E162" s="6">
        <v>4</v>
      </c>
      <c r="F162" s="3" t="s">
        <v>627</v>
      </c>
      <c r="G162" s="3" t="s">
        <v>43</v>
      </c>
    </row>
    <row r="163" spans="1:7" x14ac:dyDescent="0.25">
      <c r="A163" s="8" t="s">
        <v>8</v>
      </c>
      <c r="B163" s="21" t="str">
        <f>IFERROR(VLOOKUP(C163,'Master Component List'!A:C,3,FALSE),"Other")</f>
        <v>Capacitor</v>
      </c>
      <c r="C163" s="9" t="s">
        <v>46</v>
      </c>
      <c r="D163" s="9" t="str">
        <f>IFERROR(VLOOKUP(C163,'Master Component List'!A:B,2,FALSE),"")</f>
        <v>220nF 25V X7R 0603</v>
      </c>
      <c r="E163" s="11">
        <v>2</v>
      </c>
      <c r="F163" s="9" t="s">
        <v>628</v>
      </c>
      <c r="G163" s="9" t="s">
        <v>47</v>
      </c>
    </row>
    <row r="164" spans="1:7" x14ac:dyDescent="0.25">
      <c r="A164" s="2" t="s">
        <v>8</v>
      </c>
      <c r="B164" s="21" t="str">
        <f>IFERROR(VLOOKUP(C164,'Master Component List'!A:C,3,FALSE),"Other")</f>
        <v>Capacitor</v>
      </c>
      <c r="C164" s="3" t="s">
        <v>53</v>
      </c>
      <c r="D164" s="3" t="str">
        <f>IFERROR(VLOOKUP(C164,'Master Component List'!A:B,2,FALSE),"")</f>
        <v>22pF 16V X7R 0603</v>
      </c>
      <c r="E164" s="6">
        <v>4</v>
      </c>
      <c r="F164" s="3" t="s">
        <v>629</v>
      </c>
      <c r="G164" s="3" t="s">
        <v>54</v>
      </c>
    </row>
    <row r="165" spans="1:7" x14ac:dyDescent="0.25">
      <c r="A165" s="8" t="s">
        <v>8</v>
      </c>
      <c r="B165" s="21" t="str">
        <f>IFERROR(VLOOKUP(C165,'Master Component List'!A:C,3,FALSE),"Other")</f>
        <v>Capacitor</v>
      </c>
      <c r="C165" s="9" t="s">
        <v>59</v>
      </c>
      <c r="D165" s="9" t="str">
        <f>IFERROR(VLOOKUP(C165,'Master Component List'!A:B,2,FALSE),"")</f>
        <v>2u2 100V X7R 1210</v>
      </c>
      <c r="E165" s="11">
        <v>2</v>
      </c>
      <c r="F165" s="9" t="s">
        <v>630</v>
      </c>
      <c r="G165" s="9" t="s">
        <v>60</v>
      </c>
    </row>
    <row r="166" spans="1:7" x14ac:dyDescent="0.25">
      <c r="A166" s="2" t="s">
        <v>8</v>
      </c>
      <c r="B166" s="21" t="str">
        <f>IFERROR(VLOOKUP(C166,'Master Component List'!A:C,3,FALSE),"Other")</f>
        <v>Other</v>
      </c>
      <c r="C166" s="3" t="s">
        <v>631</v>
      </c>
      <c r="D166" s="3" t="str">
        <f>IFERROR(VLOOKUP(C166,'Master Component List'!A:B,2,FALSE),"")</f>
        <v/>
      </c>
      <c r="E166" s="6">
        <v>8</v>
      </c>
      <c r="F166" s="3" t="s">
        <v>632</v>
      </c>
      <c r="G166" s="3"/>
    </row>
    <row r="167" spans="1:7" x14ac:dyDescent="0.25">
      <c r="A167" s="8" t="s">
        <v>8</v>
      </c>
      <c r="B167" s="21" t="str">
        <f>IFERROR(VLOOKUP(C167,'Master Component List'!A:C,3,FALSE),"Other")</f>
        <v>Capacitor</v>
      </c>
      <c r="C167" s="9" t="s">
        <v>68</v>
      </c>
      <c r="D167" s="9" t="str">
        <f>IFERROR(VLOOKUP(C167,'Master Component List'!A:B,2,FALSE),"")</f>
        <v>47nF 100V X7R 0603</v>
      </c>
      <c r="E167" s="11">
        <v>36</v>
      </c>
      <c r="F167" s="9" t="s">
        <v>633</v>
      </c>
      <c r="G167" s="9" t="s">
        <v>69</v>
      </c>
    </row>
    <row r="168" spans="1:7" x14ac:dyDescent="0.25">
      <c r="A168" s="2" t="s">
        <v>8</v>
      </c>
      <c r="B168" s="21" t="str">
        <f>IFERROR(VLOOKUP(C168,'Master Component List'!A:C,3,FALSE),"Other")</f>
        <v>Capacitor</v>
      </c>
      <c r="C168" s="3" t="s">
        <v>83</v>
      </c>
      <c r="D168" s="3" t="str">
        <f>IFERROR(VLOOKUP(C168,'Master Component List'!A:B,2,FALSE),"")</f>
        <v>6n8 16V X7R 0603</v>
      </c>
      <c r="E168" s="6">
        <v>4</v>
      </c>
      <c r="F168" s="3" t="s">
        <v>634</v>
      </c>
      <c r="G168" s="3" t="s">
        <v>54</v>
      </c>
    </row>
    <row r="169" spans="1:7" x14ac:dyDescent="0.25">
      <c r="A169" s="8" t="s">
        <v>8</v>
      </c>
      <c r="B169" s="22" t="str">
        <f>IFERROR(VLOOKUP(C169,'Master Component List'!A:C,3,FALSE),"Other")</f>
        <v>Other</v>
      </c>
      <c r="C169" s="9" t="s">
        <v>635</v>
      </c>
      <c r="D169" s="9" t="str">
        <f>IFERROR(VLOOKUP(C169,'Master Component List'!A:B,2,FALSE),"")</f>
        <v/>
      </c>
      <c r="E169" s="11">
        <v>2</v>
      </c>
      <c r="F169" s="9" t="s">
        <v>636</v>
      </c>
      <c r="G169" s="9"/>
    </row>
    <row r="170" spans="1:7" x14ac:dyDescent="0.25">
      <c r="A170" s="2" t="s">
        <v>8</v>
      </c>
      <c r="B170" s="23" t="str">
        <f>IFERROR(VLOOKUP(C170,'Master Component List'!A:C,3,FALSE),"Other")</f>
        <v>Diode</v>
      </c>
      <c r="C170" s="3" t="s">
        <v>143</v>
      </c>
      <c r="D170" s="3" t="str">
        <f>IFERROR(VLOOKUP(C170,'Master Component List'!A:B,2,FALSE),"")</f>
        <v>Trans Voltage Suppressor Diode, 600W, 70V V(RWM), Unidirectional, 1 Element, Silicon, DO-214AC</v>
      </c>
      <c r="E170" s="6">
        <v>2</v>
      </c>
      <c r="F170" s="3" t="s">
        <v>637</v>
      </c>
      <c r="G170" s="3" t="s">
        <v>143</v>
      </c>
    </row>
    <row r="171" spans="1:7" x14ac:dyDescent="0.25">
      <c r="A171" s="8" t="s">
        <v>8</v>
      </c>
      <c r="B171" s="23" t="str">
        <f>IFERROR(VLOOKUP(C171,'Master Component List'!A:C,3,FALSE),"Other")</f>
        <v>Diode</v>
      </c>
      <c r="C171" s="9" t="s">
        <v>153</v>
      </c>
      <c r="D171" s="9" t="str">
        <f>IFERROR(VLOOKUP(C171,'Master Component List'!A:B,2,FALSE),"")</f>
        <v>Trans Voltage Suppressor Diode, 5V V(RWM), Unidirectional, 1 Element, Silicon</v>
      </c>
      <c r="E171" s="11">
        <v>2</v>
      </c>
      <c r="F171" s="9" t="s">
        <v>638</v>
      </c>
      <c r="G171" s="9" t="s">
        <v>153</v>
      </c>
    </row>
    <row r="172" spans="1:7" x14ac:dyDescent="0.25">
      <c r="A172" s="2" t="s">
        <v>8</v>
      </c>
      <c r="B172" s="24" t="str">
        <f>IFERROR(VLOOKUP(C172,'Master Component List'!A:C,3,FALSE),"Other")</f>
        <v>IC</v>
      </c>
      <c r="C172" s="3" t="s">
        <v>173</v>
      </c>
      <c r="D172" s="3" t="str">
        <f>IFERROR(VLOOKUP(C172,'Master Component List'!A:B,2,FALSE),"")</f>
        <v>14 Cell Battery Monitor</v>
      </c>
      <c r="E172" s="6">
        <v>2</v>
      </c>
      <c r="F172" s="3" t="s">
        <v>478</v>
      </c>
      <c r="G172" s="3" t="s">
        <v>175</v>
      </c>
    </row>
    <row r="173" spans="1:7" x14ac:dyDescent="0.25">
      <c r="A173" s="8" t="s">
        <v>8</v>
      </c>
      <c r="B173" s="11" t="str">
        <f>IFERROR(VLOOKUP(C173,'Master Component List'!A:C,3,FALSE),"Other")</f>
        <v>Other</v>
      </c>
      <c r="C173" s="9" t="s">
        <v>639</v>
      </c>
      <c r="D173" s="9" t="str">
        <f>IFERROR(VLOOKUP(C173,'Master Component List'!A:B,2,FALSE),"")</f>
        <v/>
      </c>
      <c r="E173" s="11">
        <v>2</v>
      </c>
      <c r="F173" s="9" t="s">
        <v>580</v>
      </c>
      <c r="G173" s="9"/>
    </row>
    <row r="174" spans="1:7" x14ac:dyDescent="0.25">
      <c r="A174" s="2" t="s">
        <v>8</v>
      </c>
      <c r="B174" s="11" t="str">
        <f>IFERROR(VLOOKUP(C174,'Master Component List'!A:C,3,FALSE),"Other")</f>
        <v>Other</v>
      </c>
      <c r="C174" s="3" t="s">
        <v>263</v>
      </c>
      <c r="D174" s="3" t="str">
        <f>IFERROR(VLOOKUP(C174,'Master Component List'!A:B,2,FALSE),"")</f>
        <v>Ferrite Chip, 1 Function(s), 0.8A, 2 Pin(s)</v>
      </c>
      <c r="E174" s="6">
        <v>32</v>
      </c>
      <c r="F174" s="3" t="s">
        <v>640</v>
      </c>
      <c r="G174" s="3" t="s">
        <v>263</v>
      </c>
    </row>
    <row r="175" spans="1:7" x14ac:dyDescent="0.25">
      <c r="A175" s="8" t="s">
        <v>8</v>
      </c>
      <c r="B175" s="11" t="str">
        <f>IFERROR(VLOOKUP(C175,'Master Component List'!A:C,3,FALSE),"Other")</f>
        <v>Other</v>
      </c>
      <c r="C175" s="9" t="s">
        <v>265</v>
      </c>
      <c r="D175" s="9" t="str">
        <f>IFERROR(VLOOKUP(C175,'Master Component List'!A:B,2,FALSE),"")</f>
        <v>Fuse Chip Very Fast Acting 4A</v>
      </c>
      <c r="E175" s="11">
        <v>34</v>
      </c>
      <c r="F175" s="9" t="s">
        <v>641</v>
      </c>
      <c r="G175" s="9" t="s">
        <v>265</v>
      </c>
    </row>
    <row r="176" spans="1:7" x14ac:dyDescent="0.25">
      <c r="A176" s="2" t="s">
        <v>8</v>
      </c>
      <c r="B176" s="11" t="str">
        <f>IFERROR(VLOOKUP(C176,'Master Component List'!A:C,3,FALSE),"Other")</f>
        <v>Other</v>
      </c>
      <c r="C176" s="3" t="s">
        <v>274</v>
      </c>
      <c r="D176" s="3" t="str">
        <f>IFERROR(VLOOKUP(C176,'Master Component List'!A:B,2,FALSE),"")</f>
        <v>Datacom Transformer</v>
      </c>
      <c r="E176" s="6">
        <v>3</v>
      </c>
      <c r="F176" s="3" t="s">
        <v>642</v>
      </c>
      <c r="G176" s="3" t="s">
        <v>276</v>
      </c>
    </row>
    <row r="177" spans="1:7" x14ac:dyDescent="0.25">
      <c r="A177" s="8" t="s">
        <v>8</v>
      </c>
      <c r="B177" s="27" t="str">
        <f>IFERROR(VLOOKUP(C177,'Master Component List'!A:C,3,FALSE),"Other")</f>
        <v>Resistor</v>
      </c>
      <c r="C177" s="9" t="s">
        <v>281</v>
      </c>
      <c r="D177" s="9" t="str">
        <f>IFERROR(VLOOKUP(C177,'Master Component List'!A:B,2,FALSE),"")</f>
        <v>0R 1% 0603</v>
      </c>
      <c r="E177" s="11">
        <v>6</v>
      </c>
      <c r="F177" s="9" t="s">
        <v>643</v>
      </c>
      <c r="G177" s="9" t="s">
        <v>282</v>
      </c>
    </row>
    <row r="178" spans="1:7" x14ac:dyDescent="0.25">
      <c r="A178" s="2" t="s">
        <v>8</v>
      </c>
      <c r="B178" s="27" t="str">
        <f>IFERROR(VLOOKUP(C178,'Master Component List'!A:C,3,FALSE),"Other")</f>
        <v>Resistor</v>
      </c>
      <c r="C178" s="3" t="s">
        <v>286</v>
      </c>
      <c r="D178" s="3" t="str">
        <f>IFERROR(VLOOKUP(C178,'Master Component List'!A:B,2,FALSE),"")</f>
        <v>100R 1% 0603</v>
      </c>
      <c r="E178" s="6">
        <v>30</v>
      </c>
      <c r="F178" s="3" t="s">
        <v>644</v>
      </c>
      <c r="G178" s="3" t="s">
        <v>287</v>
      </c>
    </row>
    <row r="179" spans="1:7" x14ac:dyDescent="0.25">
      <c r="A179" s="8" t="s">
        <v>8</v>
      </c>
      <c r="B179" s="27" t="str">
        <f>IFERROR(VLOOKUP(C179,'Master Component List'!A:C,3,FALSE),"Other")</f>
        <v>Resistor</v>
      </c>
      <c r="C179" s="9" t="s">
        <v>290</v>
      </c>
      <c r="D179" s="9" t="str">
        <f>IFERROR(VLOOKUP(C179,'Master Component List'!A:B,2,FALSE),"")</f>
        <v>100k 1% 0603 250mW</v>
      </c>
      <c r="E179" s="11">
        <v>2</v>
      </c>
      <c r="F179" s="9" t="s">
        <v>645</v>
      </c>
      <c r="G179" s="9" t="s">
        <v>292</v>
      </c>
    </row>
    <row r="180" spans="1:7" x14ac:dyDescent="0.25">
      <c r="A180" s="2" t="s">
        <v>8</v>
      </c>
      <c r="B180" s="27" t="str">
        <f>IFERROR(VLOOKUP(C180,'Master Component List'!A:C,3,FALSE),"Other")</f>
        <v>Resistor</v>
      </c>
      <c r="C180" s="3" t="s">
        <v>293</v>
      </c>
      <c r="D180" s="3" t="str">
        <f>IFERROR(VLOOKUP(C180,'Master Component List'!A:B,2,FALSE),"")</f>
        <v>10R 3W 2512 5%</v>
      </c>
      <c r="E180" s="6">
        <v>28</v>
      </c>
      <c r="F180" s="3" t="s">
        <v>646</v>
      </c>
      <c r="G180" s="3" t="s">
        <v>294</v>
      </c>
    </row>
    <row r="181" spans="1:7" x14ac:dyDescent="0.25">
      <c r="A181" s="8" t="s">
        <v>8</v>
      </c>
      <c r="B181" s="27" t="str">
        <f>IFERROR(VLOOKUP(C181,'Master Component List'!A:C,3,FALSE),"Other")</f>
        <v>Resistor</v>
      </c>
      <c r="C181" s="9" t="s">
        <v>327</v>
      </c>
      <c r="D181" s="9" t="str">
        <f>IFERROR(VLOOKUP(C181,'Master Component List'!A:B,2,FALSE),"")</f>
        <v>1k 1% 0603 250mW</v>
      </c>
      <c r="E181" s="11">
        <v>2</v>
      </c>
      <c r="F181" s="9" t="s">
        <v>647</v>
      </c>
      <c r="G181" s="9" t="s">
        <v>329</v>
      </c>
    </row>
    <row r="182" spans="1:7" x14ac:dyDescent="0.25">
      <c r="A182" s="2" t="s">
        <v>8</v>
      </c>
      <c r="B182" s="27" t="str">
        <f>IFERROR(VLOOKUP(C182,'Master Component List'!A:C,3,FALSE),"Other")</f>
        <v>Resistor</v>
      </c>
      <c r="C182" s="3" t="s">
        <v>369</v>
      </c>
      <c r="D182" s="3" t="str">
        <f>IFERROR(VLOOKUP(C182,'Master Component List'!A:B,2,FALSE),"")</f>
        <v>2k 1% 0603 100mW</v>
      </c>
      <c r="E182" s="6">
        <v>28</v>
      </c>
      <c r="F182" s="3" t="s">
        <v>648</v>
      </c>
      <c r="G182" s="3" t="s">
        <v>371</v>
      </c>
    </row>
    <row r="183" spans="1:7" x14ac:dyDescent="0.25">
      <c r="A183" s="8" t="s">
        <v>8</v>
      </c>
      <c r="B183" s="27" t="str">
        <f>IFERROR(VLOOKUP(C183,'Master Component List'!A:C,3,FALSE),"Other")</f>
        <v>Resistor</v>
      </c>
      <c r="C183" s="9" t="s">
        <v>395</v>
      </c>
      <c r="D183" s="9" t="str">
        <f>IFERROR(VLOOKUP(C183,'Master Component List'!A:B,2,FALSE),"")</f>
        <v>3k9 1% 0603 100mW</v>
      </c>
      <c r="E183" s="11">
        <v>14</v>
      </c>
      <c r="F183" s="9" t="s">
        <v>649</v>
      </c>
      <c r="G183" s="9" t="s">
        <v>397</v>
      </c>
    </row>
    <row r="184" spans="1:7" x14ac:dyDescent="0.25">
      <c r="A184" s="2" t="s">
        <v>8</v>
      </c>
      <c r="B184" s="27" t="str">
        <f>IFERROR(VLOOKUP(C184,'Master Component List'!A:C,3,FALSE),"Other")</f>
        <v>Resistor</v>
      </c>
      <c r="C184" s="3" t="s">
        <v>401</v>
      </c>
      <c r="D184" s="3" t="str">
        <f>IFERROR(VLOOKUP(C184,'Master Component List'!A:B,2,FALSE),"")</f>
        <v>47k 0.1% 0603</v>
      </c>
      <c r="E184" s="6">
        <v>14</v>
      </c>
      <c r="F184" s="3" t="s">
        <v>650</v>
      </c>
      <c r="G184" s="3" t="s">
        <v>402</v>
      </c>
    </row>
    <row r="185" spans="1:7" x14ac:dyDescent="0.25">
      <c r="A185" s="8" t="s">
        <v>8</v>
      </c>
      <c r="B185" s="27" t="str">
        <f>IFERROR(VLOOKUP(C185,'Master Component List'!A:C,3,FALSE),"Other")</f>
        <v>Resistor</v>
      </c>
      <c r="C185" s="9" t="s">
        <v>403</v>
      </c>
      <c r="D185" s="9" t="str">
        <f>IFERROR(VLOOKUP(C185,'Master Component List'!A:B,2,FALSE),"")</f>
        <v>48R7 1W 2512 1%</v>
      </c>
      <c r="E185" s="11">
        <v>2</v>
      </c>
      <c r="F185" s="9" t="s">
        <v>651</v>
      </c>
      <c r="G185" s="9" t="s">
        <v>404</v>
      </c>
    </row>
    <row r="186" spans="1:7" x14ac:dyDescent="0.25">
      <c r="A186" s="2" t="s">
        <v>8</v>
      </c>
      <c r="B186" s="27" t="str">
        <f>IFERROR(VLOOKUP(C186,'Master Component List'!A:C,3,FALSE),"Other")</f>
        <v>Resistor</v>
      </c>
      <c r="C186" s="3" t="s">
        <v>415</v>
      </c>
      <c r="D186" s="3" t="str">
        <f>IFERROR(VLOOKUP(C186,'Master Component List'!A:B,2,FALSE),"")</f>
        <v>60R4 1% 0603</v>
      </c>
      <c r="E186" s="6">
        <v>4</v>
      </c>
      <c r="F186" s="3" t="s">
        <v>652</v>
      </c>
      <c r="G186" s="3" t="s">
        <v>416</v>
      </c>
    </row>
    <row r="187" spans="1:7" x14ac:dyDescent="0.25">
      <c r="A187" s="8" t="s">
        <v>8</v>
      </c>
      <c r="B187" s="28" t="str">
        <f>IFERROR(VLOOKUP(C187,'Master Component List'!A:C,3,FALSE),"Other")</f>
        <v>Transistor</v>
      </c>
      <c r="C187" s="9" t="s">
        <v>453</v>
      </c>
      <c r="D187" s="9" t="str">
        <f>IFERROR(VLOOKUP(C187,'Master Component List'!A:B,2,FALSE),"")</f>
        <v>Small Signal Field-Effect Transistor, 2A I(D), 30V, 1-Element, P-Channel, Silicon, Metal-oxide Semiconductor FET</v>
      </c>
      <c r="E187" s="11">
        <v>14</v>
      </c>
      <c r="F187" s="9" t="s">
        <v>653</v>
      </c>
      <c r="G187" s="9" t="s">
        <v>455</v>
      </c>
    </row>
    <row r="188" spans="1:7" x14ac:dyDescent="0.25">
      <c r="A188" s="2" t="s">
        <v>8</v>
      </c>
      <c r="B188" s="28" t="str">
        <f>IFERROR(VLOOKUP(C188,'Master Component List'!A:C,3,FALSE),"Other")</f>
        <v>Transistor</v>
      </c>
      <c r="C188" s="3" t="s">
        <v>464</v>
      </c>
      <c r="D188" s="3" t="str">
        <f>IFERROR(VLOOKUP(C188,'Master Component List'!A:B,2,FALSE),"")</f>
        <v>Power Field-Effect Transistor, 17A I(D), 100V, 0.125ohm, 1-Element, N-Channel, Silicon, Metal-oxide Semiconductor FET, TO-252AA</v>
      </c>
      <c r="E188" s="6">
        <v>2</v>
      </c>
      <c r="F188" s="3" t="s">
        <v>654</v>
      </c>
      <c r="G188" s="3" t="s">
        <v>464</v>
      </c>
    </row>
    <row r="189" spans="1:7" x14ac:dyDescent="0.25">
      <c r="A189" s="8" t="s">
        <v>8</v>
      </c>
      <c r="B189" s="28" t="str">
        <f>IFERROR(VLOOKUP(C189,'Master Component List'!A:C,3,FALSE),"Other")</f>
        <v>Transistor</v>
      </c>
      <c r="C189" s="9" t="s">
        <v>468</v>
      </c>
      <c r="D189" s="9" t="str">
        <f>IFERROR(VLOOKUP(C189,'Master Component List'!A:B,2,FALSE),"")</f>
        <v>MOSFET N-CH 100V 2A SOT23</v>
      </c>
      <c r="E189" s="11">
        <v>2</v>
      </c>
      <c r="F189" s="9" t="s">
        <v>655</v>
      </c>
      <c r="G189" s="9" t="s">
        <v>468</v>
      </c>
    </row>
    <row r="190" spans="1:7" x14ac:dyDescent="0.25">
      <c r="A190" s="2" t="s">
        <v>8</v>
      </c>
      <c r="B190" s="28" t="str">
        <f>IFERROR(VLOOKUP(C190,'Master Component List'!A:C,3,FALSE),"Other")</f>
        <v>Transistor</v>
      </c>
      <c r="C190" s="3" t="s">
        <v>470</v>
      </c>
      <c r="D190" s="3" t="str">
        <f>IFERROR(VLOOKUP(C190,'Master Component List'!A:B,2,FALSE),"")</f>
        <v>Small Signal Field-Effect Transistor, 2A I(D), 60V, 1-Element, N-Channel, Silicon, Metal-oxide Semiconductor FET</v>
      </c>
      <c r="E190" s="6">
        <v>14</v>
      </c>
      <c r="F190" s="3" t="s">
        <v>656</v>
      </c>
      <c r="G190" s="3" t="s">
        <v>470</v>
      </c>
    </row>
    <row r="191" spans="1:7" x14ac:dyDescent="0.25">
      <c r="A191" s="8" t="s">
        <v>9</v>
      </c>
      <c r="B191" s="22" t="str">
        <f>IFERROR(VLOOKUP(C191,'Master Component List'!A:C,3,FALSE),"Other")</f>
        <v>Connector</v>
      </c>
      <c r="C191" s="9" t="s">
        <v>90</v>
      </c>
      <c r="D191" s="9" t="str">
        <f>IFERROR(VLOOKUP(C191,'Master Component List'!A:B,2,FALSE),"")</f>
        <v>Mezzanine Connector, Header, 1 mm, 2 Rows, 51 Contacts, Surface Mount Straight, Copper Alloy</v>
      </c>
      <c r="E191" s="11">
        <v>4</v>
      </c>
      <c r="F191" s="9" t="s">
        <v>657</v>
      </c>
      <c r="G191" s="9" t="s">
        <v>90</v>
      </c>
    </row>
    <row r="192" spans="1:7" x14ac:dyDescent="0.25">
      <c r="A192" s="2" t="s">
        <v>9</v>
      </c>
      <c r="B192" s="22" t="str">
        <f>IFERROR(VLOOKUP(C192,'Master Component List'!A:C,3,FALSE),"Other")</f>
        <v>Connector</v>
      </c>
      <c r="C192" s="3" t="s">
        <v>93</v>
      </c>
      <c r="D192" s="3" t="str">
        <f>IFERROR(VLOOKUP(C192,'Master Component List'!A:B,2,FALSE),"")</f>
        <v>0.8 Btb Fs Rcpt G/f 24P; 1775013-2</v>
      </c>
      <c r="E192" s="6">
        <v>4</v>
      </c>
      <c r="F192" s="3" t="s">
        <v>658</v>
      </c>
      <c r="G192" s="3" t="s">
        <v>93</v>
      </c>
    </row>
    <row r="193" spans="1:7" x14ac:dyDescent="0.25">
      <c r="A193" s="8" t="s">
        <v>9</v>
      </c>
      <c r="B193" s="22" t="str">
        <f>IFERROR(VLOOKUP(C193,'Master Component List'!A:C,3,FALSE),"Other")</f>
        <v>Connector</v>
      </c>
      <c r="C193" s="9" t="s">
        <v>111</v>
      </c>
      <c r="D193" s="9" t="str">
        <f>IFERROR(VLOOKUP(C193,'Master Component List'!A:B,2,FALSE),"")</f>
        <v>Board Connector, 4 Contact(s), 2 Row(s), Female, Straight, 0.079 inch Pitch, Surface Mount Terminal, Locking, Black Insulator, Plug</v>
      </c>
      <c r="E193" s="11">
        <v>8</v>
      </c>
      <c r="F193" s="9" t="s">
        <v>659</v>
      </c>
      <c r="G193" s="9" t="s">
        <v>111</v>
      </c>
    </row>
    <row r="194" spans="1:7" x14ac:dyDescent="0.25">
      <c r="A194" s="2" t="s">
        <v>9</v>
      </c>
      <c r="B194" s="11" t="str">
        <f>IFERROR(VLOOKUP(C194,'Master Component List'!A:C,3,FALSE),"Other")</f>
        <v>Other</v>
      </c>
      <c r="C194" s="3" t="s">
        <v>243</v>
      </c>
      <c r="D194" s="3" t="str">
        <f>IFERROR(VLOOKUP(C194,'Master Component List'!A:B,2,FALSE),"")</f>
        <v>WR-MPC3 Dual Row Right Angled Header with Plastic Pegs, THT, pitch 3mm, 2pins</v>
      </c>
      <c r="E194" s="6">
        <v>2</v>
      </c>
      <c r="F194" s="3" t="s">
        <v>580</v>
      </c>
      <c r="G194" s="3" t="s">
        <v>246</v>
      </c>
    </row>
    <row r="195" spans="1:7" x14ac:dyDescent="0.25">
      <c r="A195" s="8" t="s">
        <v>9</v>
      </c>
      <c r="B195" s="11" t="str">
        <f>IFERROR(VLOOKUP(C195,'Master Component List'!A:C,3,FALSE),"Other")</f>
        <v>Other</v>
      </c>
      <c r="C195" s="9" t="s">
        <v>256</v>
      </c>
      <c r="D195" s="9" t="str">
        <f>IFERROR(VLOOKUP(C195,'Master Component List'!A:B,2,FALSE),"")</f>
        <v>WA-SMSR SMT Steel Spacer Reverse, hole 3.2mm x 4.6mm</v>
      </c>
      <c r="E195" s="11">
        <v>4</v>
      </c>
      <c r="F195" s="9" t="s">
        <v>484</v>
      </c>
      <c r="G195" s="9" t="s">
        <v>256</v>
      </c>
    </row>
    <row r="196" spans="1:7" x14ac:dyDescent="0.25">
      <c r="A196" s="2" t="s">
        <v>9</v>
      </c>
      <c r="B196" s="11" t="str">
        <f>IFERROR(VLOOKUP(C196,'Master Component List'!A:C,3,FALSE),"Other")</f>
        <v>Other</v>
      </c>
      <c r="C196" s="3" t="s">
        <v>258</v>
      </c>
      <c r="D196" s="3" t="str">
        <f>IFERROR(VLOOKUP(C196,'Master Component List'!A:B,2,FALSE),"")</f>
        <v>WA-SMSSR SMT Steel Spacer fixed with snap rivet</v>
      </c>
      <c r="E196" s="6">
        <v>12</v>
      </c>
      <c r="F196" s="3" t="s">
        <v>660</v>
      </c>
      <c r="G196" s="3" t="s">
        <v>258</v>
      </c>
    </row>
    <row r="197" spans="1:7" x14ac:dyDescent="0.25">
      <c r="A197" s="8" t="s">
        <v>10</v>
      </c>
      <c r="B197" s="26" t="str">
        <f>IFERROR(VLOOKUP(C197,'Master Component List'!A:C,3,FALSE),"Other")</f>
        <v>Other</v>
      </c>
      <c r="C197" s="9" t="s">
        <v>661</v>
      </c>
      <c r="D197" s="9" t="str">
        <f>IFERROR(VLOOKUP(C197,'Master Component List'!A:B,2,FALSE),"")</f>
        <v/>
      </c>
      <c r="E197" s="11"/>
      <c r="F197" s="9" t="s">
        <v>662</v>
      </c>
      <c r="G197" s="9"/>
    </row>
    <row r="198" spans="1:7" x14ac:dyDescent="0.25">
      <c r="A198" s="2" t="s">
        <v>10</v>
      </c>
      <c r="B198" s="26" t="str">
        <f>IFERROR(VLOOKUP(C198,'Master Component List'!A:C,3,FALSE),"Other")</f>
        <v>Other</v>
      </c>
      <c r="C198" s="3" t="s">
        <v>663</v>
      </c>
      <c r="D198" s="3" t="str">
        <f>IFERROR(VLOOKUP(C198,'Master Component List'!A:B,2,FALSE),"")</f>
        <v/>
      </c>
      <c r="E198" s="6"/>
      <c r="F198" s="3" t="s">
        <v>664</v>
      </c>
      <c r="G198" s="3"/>
    </row>
    <row r="199" spans="1:7" x14ac:dyDescent="0.25">
      <c r="A199" s="8" t="s">
        <v>10</v>
      </c>
      <c r="B199" s="26" t="str">
        <f>IFERROR(VLOOKUP(C199,'Master Component List'!A:C,3,FALSE),"Other")</f>
        <v>Other</v>
      </c>
      <c r="C199" s="9" t="s">
        <v>665</v>
      </c>
      <c r="D199" s="9" t="str">
        <f>IFERROR(VLOOKUP(C199,'Master Component List'!A:B,2,FALSE),"")</f>
        <v/>
      </c>
      <c r="E199" s="11"/>
      <c r="F199" s="9" t="s">
        <v>666</v>
      </c>
      <c r="G199" s="9"/>
    </row>
    <row r="200" spans="1:7" x14ac:dyDescent="0.25">
      <c r="A200" s="2" t="s">
        <v>10</v>
      </c>
      <c r="B200" s="11" t="str">
        <f>IFERROR(VLOOKUP(C200,'Master Component List'!A:C,3,FALSE),"Other")</f>
        <v>Other</v>
      </c>
      <c r="C200" s="3" t="s">
        <v>667</v>
      </c>
      <c r="D200" s="3" t="str">
        <f>IFERROR(VLOOKUP(C200,'Master Component List'!A:B,2,FALSE),"")</f>
        <v/>
      </c>
      <c r="E200" s="6"/>
      <c r="F200" s="3" t="s">
        <v>483</v>
      </c>
      <c r="G200" s="3"/>
    </row>
    <row r="201" spans="1:7" x14ac:dyDescent="0.25">
      <c r="A201" s="8" t="s">
        <v>11</v>
      </c>
      <c r="B201" s="21" t="str">
        <f>IFERROR(VLOOKUP(C201,'Master Component List'!A:C,3,FALSE),"Other")</f>
        <v>Capacitor</v>
      </c>
      <c r="C201" s="9" t="s">
        <v>22</v>
      </c>
      <c r="D201" s="9" t="str">
        <f>IFERROR(VLOOKUP(C201,'Master Component List'!A:B,2,FALSE),"")</f>
        <v>100nF 25V X7R 0603</v>
      </c>
      <c r="E201" s="11">
        <v>1</v>
      </c>
      <c r="F201" s="9" t="s">
        <v>668</v>
      </c>
      <c r="G201" s="9" t="s">
        <v>23</v>
      </c>
    </row>
    <row r="202" spans="1:7" x14ac:dyDescent="0.25">
      <c r="A202" s="2" t="s">
        <v>11</v>
      </c>
      <c r="B202" s="21" t="str">
        <f>IFERROR(VLOOKUP(C202,'Master Component List'!A:C,3,FALSE),"Other")</f>
        <v>Capacitor</v>
      </c>
      <c r="C202" s="3" t="s">
        <v>61</v>
      </c>
      <c r="D202" s="3" t="str">
        <f>IFERROR(VLOOKUP(C202,'Master Component List'!A:B,2,FALSE),"")</f>
        <v>2u2 25V X6S 0603</v>
      </c>
      <c r="E202" s="6">
        <v>1</v>
      </c>
      <c r="F202" s="3" t="s">
        <v>563</v>
      </c>
      <c r="G202" s="3" t="s">
        <v>62</v>
      </c>
    </row>
    <row r="203" spans="1:7" x14ac:dyDescent="0.25">
      <c r="A203" s="8" t="s">
        <v>11</v>
      </c>
      <c r="B203" s="22" t="str">
        <f>IFERROR(VLOOKUP(C203,'Master Component List'!A:C,3,FALSE),"Other")</f>
        <v>Connector</v>
      </c>
      <c r="C203" s="9" t="s">
        <v>99</v>
      </c>
      <c r="D203" s="9" t="str">
        <f>IFERROR(VLOOKUP(C203,'Master Component List'!A:B,2,FALSE),"")</f>
        <v>WR-MPC3 Single Row Right Angled Header with Plastic Pegs, THT, pitch 3mm, 2pins</v>
      </c>
      <c r="E203" s="11">
        <v>2</v>
      </c>
      <c r="F203" s="9" t="s">
        <v>636</v>
      </c>
      <c r="G203" s="9" t="s">
        <v>99</v>
      </c>
    </row>
    <row r="204" spans="1:7" x14ac:dyDescent="0.25">
      <c r="A204" s="2" t="s">
        <v>11</v>
      </c>
      <c r="B204" s="22" t="str">
        <f>IFERROR(VLOOKUP(C204,'Master Component List'!A:C,3,FALSE),"Other")</f>
        <v>Connector</v>
      </c>
      <c r="C204" s="3" t="s">
        <v>108</v>
      </c>
      <c r="D204" s="3" t="str">
        <f>IFERROR(VLOOKUP(C204,'Master Component List'!A:B,2,FALSE),"")</f>
        <v>WR-MPC3 THT Male Right Angled Header with Plastic Pegs, pitch 3mm, 10p</v>
      </c>
      <c r="E204" s="6">
        <v>1</v>
      </c>
      <c r="F204" s="3" t="s">
        <v>669</v>
      </c>
      <c r="G204" s="3" t="s">
        <v>110</v>
      </c>
    </row>
    <row r="205" spans="1:7" x14ac:dyDescent="0.25">
      <c r="A205" s="8" t="s">
        <v>11</v>
      </c>
      <c r="B205" s="23" t="str">
        <f>IFERROR(VLOOKUP(C205,'Master Component List'!A:C,3,FALSE),"Other")</f>
        <v>Diode</v>
      </c>
      <c r="C205" s="9" t="s">
        <v>115</v>
      </c>
      <c r="D205" s="9" t="str">
        <f>IFERROR(VLOOKUP(C205,'Master Component List'!A:B,2,FALSE),"")</f>
        <v>Diode, SMD, 75V, 5%, 250mA, SOD123</v>
      </c>
      <c r="E205" s="11">
        <v>2</v>
      </c>
      <c r="F205" s="9" t="s">
        <v>670</v>
      </c>
      <c r="G205" s="9" t="s">
        <v>118</v>
      </c>
    </row>
    <row r="206" spans="1:7" x14ac:dyDescent="0.25">
      <c r="A206" s="2" t="s">
        <v>11</v>
      </c>
      <c r="B206" s="23" t="str">
        <f>IFERROR(VLOOKUP(C206,'Master Component List'!A:C,3,FALSE),"Other")</f>
        <v>Diode</v>
      </c>
      <c r="C206" s="3" t="s">
        <v>115</v>
      </c>
      <c r="D206" s="3" t="str">
        <f>IFERROR(VLOOKUP(C206,'Master Component List'!A:B,2,FALSE),"")</f>
        <v>Diode, SMD, 75V, 5%, 250mA, SOD123</v>
      </c>
      <c r="E206" s="6">
        <v>1</v>
      </c>
      <c r="F206" s="3" t="s">
        <v>571</v>
      </c>
      <c r="G206" s="3" t="s">
        <v>118</v>
      </c>
    </row>
    <row r="207" spans="1:7" x14ac:dyDescent="0.25">
      <c r="A207" s="8" t="s">
        <v>11</v>
      </c>
      <c r="B207" s="23" t="str">
        <f>IFERROR(VLOOKUP(C207,'Master Component List'!A:C,3,FALSE),"Other")</f>
        <v>Diode</v>
      </c>
      <c r="C207" s="9" t="s">
        <v>141</v>
      </c>
      <c r="D207" s="9" t="str">
        <f>IFERROR(VLOOKUP(C207,'Master Component List'!A:B,2,FALSE),"")</f>
        <v>Rectifier Diode, Schottky, 1 Phase, 1 Element, 4.2A, 60V V(RRM), Silicon</v>
      </c>
      <c r="E207" s="11">
        <v>1</v>
      </c>
      <c r="F207" s="9" t="s">
        <v>671</v>
      </c>
      <c r="G207" s="9" t="s">
        <v>141</v>
      </c>
    </row>
    <row r="208" spans="1:7" x14ac:dyDescent="0.25">
      <c r="A208" s="2" t="s">
        <v>11</v>
      </c>
      <c r="B208" s="23" t="str">
        <f>IFERROR(VLOOKUP(C208,'Master Component List'!A:C,3,FALSE),"Other")</f>
        <v>Diode</v>
      </c>
      <c r="C208" s="3" t="s">
        <v>145</v>
      </c>
      <c r="D208" s="3" t="str">
        <f>IFERROR(VLOOKUP(C208,'Master Component List'!A:B,2,FALSE),"")</f>
        <v>Zener Diode 12V 1W ±5% Surface Mount SMA</v>
      </c>
      <c r="E208" s="6">
        <v>2</v>
      </c>
      <c r="F208" s="3" t="s">
        <v>672</v>
      </c>
      <c r="G208" s="3"/>
    </row>
    <row r="209" spans="1:7" x14ac:dyDescent="0.25">
      <c r="A209" s="8" t="s">
        <v>11</v>
      </c>
      <c r="B209" s="23" t="str">
        <f>IFERROR(VLOOKUP(C209,'Master Component List'!A:C,3,FALSE),"Other")</f>
        <v>Diode</v>
      </c>
      <c r="C209" s="9" t="s">
        <v>145</v>
      </c>
      <c r="D209" s="9" t="str">
        <f>IFERROR(VLOOKUP(C209,'Master Component List'!A:B,2,FALSE),"")</f>
        <v>Zener Diode 12V 1W ±5% Surface Mount SMA</v>
      </c>
      <c r="E209" s="11">
        <v>1</v>
      </c>
      <c r="F209" s="9" t="s">
        <v>673</v>
      </c>
      <c r="G209" s="9"/>
    </row>
    <row r="210" spans="1:7" x14ac:dyDescent="0.25">
      <c r="A210" s="2" t="s">
        <v>11</v>
      </c>
      <c r="B210" s="23" t="str">
        <f>IFERROR(VLOOKUP(C210,'Master Component List'!A:C,3,FALSE),"Other")</f>
        <v>Diode</v>
      </c>
      <c r="C210" s="3" t="s">
        <v>147</v>
      </c>
      <c r="D210" s="3" t="str">
        <f>IFERROR(VLOOKUP(C210,'Master Component List'!A:B,2,FALSE),"")</f>
        <v>Zener Diode 22V 1W ±5% Surface Mount SMA</v>
      </c>
      <c r="E210" s="6">
        <v>1</v>
      </c>
      <c r="F210" s="3" t="s">
        <v>674</v>
      </c>
      <c r="G210" s="3" t="s">
        <v>147</v>
      </c>
    </row>
    <row r="211" spans="1:7" x14ac:dyDescent="0.25">
      <c r="A211" s="8" t="s">
        <v>11</v>
      </c>
      <c r="B211" s="24" t="str">
        <f>IFERROR(VLOOKUP(C211,'Master Component List'!A:C,3,FALSE),"Other")</f>
        <v>IC</v>
      </c>
      <c r="C211" s="9" t="s">
        <v>164</v>
      </c>
      <c r="D211" s="9" t="str">
        <f>IFERROR(VLOOKUP(C211,'Master Component List'!A:B,2,FALSE),"")</f>
        <v>IC INVERTER SCHMITT 1CH 5SSOP</v>
      </c>
      <c r="E211" s="11">
        <v>1</v>
      </c>
      <c r="F211" s="9" t="s">
        <v>521</v>
      </c>
      <c r="G211" s="9" t="s">
        <v>166</v>
      </c>
    </row>
    <row r="212" spans="1:7" x14ac:dyDescent="0.25">
      <c r="A212" s="2" t="s">
        <v>11</v>
      </c>
      <c r="B212" s="11" t="str">
        <f>IFERROR(VLOOKUP(C212,'Master Component List'!A:C,3,FALSE),"Other")</f>
        <v>Other</v>
      </c>
      <c r="C212" s="3" t="s">
        <v>675</v>
      </c>
      <c r="D212" s="3" t="str">
        <f>IFERROR(VLOOKUP(C212,'Master Component List'!A:B,2,FALSE),"")</f>
        <v/>
      </c>
      <c r="E212" s="6">
        <v>4</v>
      </c>
      <c r="F212" s="3" t="s">
        <v>484</v>
      </c>
      <c r="G212" s="3"/>
    </row>
    <row r="213" spans="1:7" x14ac:dyDescent="0.25">
      <c r="A213" s="8" t="s">
        <v>11</v>
      </c>
      <c r="B213" s="11" t="str">
        <f>IFERROR(VLOOKUP(C213,'Master Component List'!A:C,3,FALSE),"Other")</f>
        <v>Other</v>
      </c>
      <c r="C213" s="9" t="s">
        <v>267</v>
      </c>
      <c r="D213" s="9" t="str">
        <f>IFERROR(VLOOKUP(C213,'Master Component List'!A:B,2,FALSE),"")</f>
        <v>Low Signal Relay 12VDC Coil 8-Blade Terminal 125VAC/DC 2A 2 Poles PCB Mounting DPDT</v>
      </c>
      <c r="E213" s="11">
        <v>2</v>
      </c>
      <c r="F213" s="9" t="s">
        <v>676</v>
      </c>
      <c r="G213" s="9" t="s">
        <v>267</v>
      </c>
    </row>
    <row r="214" spans="1:7" x14ac:dyDescent="0.25">
      <c r="A214" s="2" t="s">
        <v>11</v>
      </c>
      <c r="B214" s="11" t="str">
        <f>IFERROR(VLOOKUP(C214,'Master Component List'!A:C,3,FALSE),"Other")</f>
        <v>Other</v>
      </c>
      <c r="C214" s="3" t="s">
        <v>677</v>
      </c>
      <c r="D214" s="3" t="str">
        <f>IFERROR(VLOOKUP(C214,'Master Component List'!A:B,2,FALSE),"")</f>
        <v/>
      </c>
      <c r="E214" s="6">
        <v>2</v>
      </c>
      <c r="F214" s="3" t="s">
        <v>678</v>
      </c>
      <c r="G214" s="3"/>
    </row>
    <row r="215" spans="1:7" x14ac:dyDescent="0.25">
      <c r="A215" s="8" t="s">
        <v>11</v>
      </c>
      <c r="B215" s="27" t="str">
        <f>IFERROR(VLOOKUP(C215,'Master Component List'!A:C,3,FALSE),"Other")</f>
        <v>Resistor</v>
      </c>
      <c r="C215" s="9" t="s">
        <v>286</v>
      </c>
      <c r="D215" s="9" t="str">
        <f>IFERROR(VLOOKUP(C215,'Master Component List'!A:B,2,FALSE),"")</f>
        <v>100R 1% 0603</v>
      </c>
      <c r="E215" s="11">
        <v>1</v>
      </c>
      <c r="F215" s="9" t="s">
        <v>592</v>
      </c>
      <c r="G215" s="9" t="s">
        <v>287</v>
      </c>
    </row>
    <row r="216" spans="1:7" x14ac:dyDescent="0.25">
      <c r="A216" s="2" t="s">
        <v>11</v>
      </c>
      <c r="B216" s="27" t="str">
        <f>IFERROR(VLOOKUP(C216,'Master Component List'!A:C,3,FALSE),"Other")</f>
        <v>Resistor</v>
      </c>
      <c r="C216" s="3" t="s">
        <v>366</v>
      </c>
      <c r="D216" s="3" t="str">
        <f>IFERROR(VLOOKUP(C216,'Master Component List'!A:B,2,FALSE),"")</f>
        <v>2M2 1% 0603 250mW</v>
      </c>
      <c r="E216" s="6">
        <v>1</v>
      </c>
      <c r="F216" s="3" t="s">
        <v>591</v>
      </c>
      <c r="G216" s="3" t="s">
        <v>368</v>
      </c>
    </row>
    <row r="217" spans="1:7" x14ac:dyDescent="0.25">
      <c r="A217" s="8" t="s">
        <v>11</v>
      </c>
      <c r="B217" s="27" t="str">
        <f>IFERROR(VLOOKUP(C217,'Master Component List'!A:C,3,FALSE),"Other")</f>
        <v>Resistor</v>
      </c>
      <c r="C217" s="9" t="s">
        <v>405</v>
      </c>
      <c r="D217" s="9" t="str">
        <f>IFERROR(VLOOKUP(C217,'Master Component List'!A:B,2,FALSE),"")</f>
        <v>4k7 1% 0603</v>
      </c>
      <c r="E217" s="11">
        <v>1</v>
      </c>
      <c r="F217" s="9" t="s">
        <v>679</v>
      </c>
      <c r="G217" s="9" t="s">
        <v>406</v>
      </c>
    </row>
    <row r="218" spans="1:7" x14ac:dyDescent="0.25">
      <c r="A218" s="2" t="s">
        <v>11</v>
      </c>
      <c r="B218" s="27" t="str">
        <f>IFERROR(VLOOKUP(C218,'Master Component List'!A:C,3,FALSE),"Other")</f>
        <v>Resistor</v>
      </c>
      <c r="C218" s="3" t="s">
        <v>438</v>
      </c>
      <c r="D218" s="3" t="str">
        <f>IFERROR(VLOOKUP(C218,'Master Component List'!A:B,2,FALSE),"")</f>
        <v>2k 25W 5%</v>
      </c>
      <c r="E218" s="6">
        <v>2</v>
      </c>
      <c r="F218" s="3" t="s">
        <v>485</v>
      </c>
      <c r="G218" s="3" t="s">
        <v>438</v>
      </c>
    </row>
    <row r="219" spans="1:7" x14ac:dyDescent="0.25">
      <c r="A219" s="8" t="s">
        <v>11</v>
      </c>
      <c r="B219" s="27" t="str">
        <f>IFERROR(VLOOKUP(C219,'Master Component List'!A:C,3,FALSE),"Other")</f>
        <v>Other</v>
      </c>
      <c r="C219" s="9" t="s">
        <v>680</v>
      </c>
      <c r="D219" s="9" t="str">
        <f>IFERROR(VLOOKUP(C219,'Master Component List'!A:B,2,FALSE),"")</f>
        <v/>
      </c>
      <c r="E219" s="11">
        <v>1</v>
      </c>
      <c r="F219" s="9" t="s">
        <v>594</v>
      </c>
      <c r="G219" s="9"/>
    </row>
    <row r="220" spans="1:7" x14ac:dyDescent="0.25">
      <c r="A220" s="2" t="s">
        <v>11</v>
      </c>
      <c r="B220" s="29" t="str">
        <f>IFERROR(VLOOKUP(C220,'Master Component List'!A:C,3,FALSE),"Other")</f>
        <v>Switch</v>
      </c>
      <c r="C220" s="3" t="s">
        <v>442</v>
      </c>
      <c r="D220" s="3" t="str">
        <f>IFERROR(VLOOKUP(C220,'Master Component List'!A:B,2,FALSE),"")</f>
        <v>NC SPST thermal switch</v>
      </c>
      <c r="E220" s="6">
        <v>2</v>
      </c>
      <c r="F220" s="3" t="s">
        <v>681</v>
      </c>
      <c r="G220" s="3" t="s">
        <v>442</v>
      </c>
    </row>
    <row r="221" spans="1:7" x14ac:dyDescent="0.25">
      <c r="A221" s="8" t="s">
        <v>11</v>
      </c>
      <c r="B221" s="28" t="str">
        <f>IFERROR(VLOOKUP(C221,'Master Component List'!A:C,3,FALSE),"Other")</f>
        <v>Transistor</v>
      </c>
      <c r="C221" s="9" t="s">
        <v>448</v>
      </c>
      <c r="D221" s="9" t="str">
        <f>IFERROR(VLOOKUP(C221,'Master Component List'!A:B,2,FALSE),"")</f>
        <v>N-Channel 60V 300mA (Ta) 350mW (Ta) Surface Mount SOT-23 (TO-236AB)</v>
      </c>
      <c r="E221" s="11">
        <v>1</v>
      </c>
      <c r="F221" s="9" t="s">
        <v>606</v>
      </c>
      <c r="G221" s="9" t="s">
        <v>451</v>
      </c>
    </row>
    <row r="222" spans="1:7" x14ac:dyDescent="0.25">
      <c r="A222" s="2" t="s">
        <v>12</v>
      </c>
      <c r="B222" s="21" t="str">
        <f>IFERROR(VLOOKUP(C222,'Master Component List'!A:C,3,FALSE),"Other")</f>
        <v>Capacitor</v>
      </c>
      <c r="C222" s="3" t="s">
        <v>18</v>
      </c>
      <c r="D222" s="3" t="str">
        <f>IFERROR(VLOOKUP(C222,'Master Component List'!A:B,2,FALSE),"")</f>
        <v>100n 50V X7R 0402</v>
      </c>
      <c r="E222" s="6">
        <v>25</v>
      </c>
      <c r="F222" s="3" t="s">
        <v>682</v>
      </c>
      <c r="G222" s="3" t="s">
        <v>20</v>
      </c>
    </row>
    <row r="223" spans="1:7" x14ac:dyDescent="0.25">
      <c r="A223" s="8" t="s">
        <v>12</v>
      </c>
      <c r="B223" s="21" t="str">
        <f>IFERROR(VLOOKUP(C223,'Master Component List'!A:C,3,FALSE),"Other")</f>
        <v>Capacitor</v>
      </c>
      <c r="C223" s="9" t="s">
        <v>24</v>
      </c>
      <c r="D223" s="9" t="str">
        <f>IFERROR(VLOOKUP(C223,'Master Component List'!A:B,2,FALSE),"")</f>
        <v>100nF 50V X7R 0603</v>
      </c>
      <c r="E223" s="11">
        <v>2</v>
      </c>
      <c r="F223" s="9" t="s">
        <v>683</v>
      </c>
      <c r="G223" s="9" t="s">
        <v>25</v>
      </c>
    </row>
    <row r="224" spans="1:7" x14ac:dyDescent="0.25">
      <c r="A224" s="2" t="s">
        <v>12</v>
      </c>
      <c r="B224" s="21" t="str">
        <f>IFERROR(VLOOKUP(C224,'Master Component List'!A:C,3,FALSE),"Other")</f>
        <v>Capacitor</v>
      </c>
      <c r="C224" s="3" t="s">
        <v>28</v>
      </c>
      <c r="D224" s="3" t="str">
        <f>IFERROR(VLOOKUP(C224,'Master Component List'!A:B,2,FALSE),"")</f>
        <v>10n 50V X7R 0402</v>
      </c>
      <c r="E224" s="6">
        <v>6</v>
      </c>
      <c r="F224" s="3" t="s">
        <v>684</v>
      </c>
      <c r="G224" s="3" t="s">
        <v>29</v>
      </c>
    </row>
    <row r="225" spans="1:7" x14ac:dyDescent="0.25">
      <c r="A225" s="8" t="s">
        <v>12</v>
      </c>
      <c r="B225" s="21" t="str">
        <f>IFERROR(VLOOKUP(C225,'Master Component List'!A:C,3,FALSE),"Other")</f>
        <v>Capacitor</v>
      </c>
      <c r="C225" s="9" t="s">
        <v>30</v>
      </c>
      <c r="D225" s="9" t="str">
        <f>IFERROR(VLOOKUP(C225,'Master Component List'!A:B,2,FALSE),"")</f>
        <v>Ceramic Capacitor, Multilayer, Ceramic, 50V, 5% +Tol, 5% -Tol, C0G, 30ppm/Cel TC, 0.01uF, Surface Mount, 0603</v>
      </c>
      <c r="E225" s="11">
        <v>22</v>
      </c>
      <c r="F225" s="9" t="s">
        <v>685</v>
      </c>
      <c r="G225" s="9" t="s">
        <v>32</v>
      </c>
    </row>
    <row r="226" spans="1:7" x14ac:dyDescent="0.25">
      <c r="A226" s="2" t="s">
        <v>12</v>
      </c>
      <c r="B226" s="21" t="str">
        <f>IFERROR(VLOOKUP(C226,'Master Component List'!A:C,3,FALSE),"Other")</f>
        <v>Capacitor</v>
      </c>
      <c r="C226" s="3" t="s">
        <v>35</v>
      </c>
      <c r="D226" s="3" t="str">
        <f>IFERROR(VLOOKUP(C226,'Master Component List'!A:B,2,FALSE),"")</f>
        <v>10uF 25V X7R 0805</v>
      </c>
      <c r="E226" s="6">
        <v>2</v>
      </c>
      <c r="F226" s="3" t="s">
        <v>686</v>
      </c>
      <c r="G226" s="3" t="s">
        <v>36</v>
      </c>
    </row>
    <row r="227" spans="1:7" x14ac:dyDescent="0.25">
      <c r="A227" s="8" t="s">
        <v>12</v>
      </c>
      <c r="B227" s="21" t="str">
        <f>IFERROR(VLOOKUP(C227,'Master Component List'!A:C,3,FALSE),"Other")</f>
        <v>Capacitor</v>
      </c>
      <c r="C227" s="9" t="s">
        <v>37</v>
      </c>
      <c r="D227" s="9" t="str">
        <f>IFERROR(VLOOKUP(C227,'Master Component List'!A:B,2,FALSE),"")</f>
        <v>10uF 50V X7R 1206</v>
      </c>
      <c r="E227" s="11">
        <v>6</v>
      </c>
      <c r="F227" s="9" t="s">
        <v>687</v>
      </c>
      <c r="G227" s="9" t="s">
        <v>38</v>
      </c>
    </row>
    <row r="228" spans="1:7" x14ac:dyDescent="0.25">
      <c r="A228" s="2" t="s">
        <v>12</v>
      </c>
      <c r="B228" s="21" t="str">
        <f>IFERROR(VLOOKUP(C228,'Master Component List'!A:C,3,FALSE),"Other")</f>
        <v>Capacitor</v>
      </c>
      <c r="C228" s="3" t="s">
        <v>39</v>
      </c>
      <c r="D228" s="3" t="str">
        <f>IFERROR(VLOOKUP(C228,'Master Component List'!A:B,2,FALSE),"")</f>
        <v>1u 25V X6S 0402</v>
      </c>
      <c r="E228" s="6">
        <v>2</v>
      </c>
      <c r="F228" s="3" t="s">
        <v>688</v>
      </c>
      <c r="G228" s="3" t="s">
        <v>40</v>
      </c>
    </row>
    <row r="229" spans="1:7" x14ac:dyDescent="0.25">
      <c r="A229" s="8" t="s">
        <v>12</v>
      </c>
      <c r="B229" s="21" t="str">
        <f>IFERROR(VLOOKUP(C229,'Master Component List'!A:C,3,FALSE),"Other")</f>
        <v>Capacitor</v>
      </c>
      <c r="C229" s="9" t="s">
        <v>59</v>
      </c>
      <c r="D229" s="9" t="str">
        <f>IFERROR(VLOOKUP(C229,'Master Component List'!A:B,2,FALSE),"")</f>
        <v>2u2 100V X7R 1210</v>
      </c>
      <c r="E229" s="11">
        <v>2</v>
      </c>
      <c r="F229" s="9" t="s">
        <v>689</v>
      </c>
      <c r="G229" s="9" t="s">
        <v>60</v>
      </c>
    </row>
    <row r="230" spans="1:7" x14ac:dyDescent="0.25">
      <c r="A230" s="2" t="s">
        <v>12</v>
      </c>
      <c r="B230" s="21" t="str">
        <f>IFERROR(VLOOKUP(C230,'Master Component List'!A:C,3,FALSE),"Other")</f>
        <v>Capacitor</v>
      </c>
      <c r="C230" s="3" t="s">
        <v>63</v>
      </c>
      <c r="D230" s="3" t="str">
        <f>IFERROR(VLOOKUP(C230,'Master Component List'!A:B,2,FALSE),"")</f>
        <v>Aluminum Electrolytic Capacitor, Polarized, Aluminum (wet), 35V, 20% +Tol, 20% -Tol, 390uF, Through Hole Mount</v>
      </c>
      <c r="E230" s="6">
        <v>3</v>
      </c>
      <c r="F230" s="3" t="s">
        <v>690</v>
      </c>
      <c r="G230" s="3" t="s">
        <v>63</v>
      </c>
    </row>
    <row r="231" spans="1:7" x14ac:dyDescent="0.25">
      <c r="A231" s="8" t="s">
        <v>12</v>
      </c>
      <c r="B231" s="21" t="str">
        <f>IFERROR(VLOOKUP(C231,'Master Component List'!A:C,3,FALSE),"Other")</f>
        <v>Capacitor</v>
      </c>
      <c r="C231" s="9" t="s">
        <v>65</v>
      </c>
      <c r="D231" s="9" t="str">
        <f>IFERROR(VLOOKUP(C231,'Master Component List'!A:B,2,FALSE),"")</f>
        <v>Capacitor, Ceramic, SMD, 470nF, 50V, 5%, X5R, 0603</v>
      </c>
      <c r="E231" s="11">
        <v>1</v>
      </c>
      <c r="F231" s="9" t="s">
        <v>691</v>
      </c>
      <c r="G231" s="9" t="s">
        <v>67</v>
      </c>
    </row>
    <row r="232" spans="1:7" x14ac:dyDescent="0.25">
      <c r="A232" s="2" t="s">
        <v>12</v>
      </c>
      <c r="B232" s="21" t="str">
        <f>IFERROR(VLOOKUP(C232,'Master Component List'!A:C,3,FALSE),"Other")</f>
        <v>Capacitor</v>
      </c>
      <c r="C232" s="3" t="s">
        <v>73</v>
      </c>
      <c r="D232" s="3" t="str">
        <f>IFERROR(VLOOKUP(C232,'Master Component List'!A:B,2,FALSE),"")</f>
        <v>4u7 16 V X7R 0603</v>
      </c>
      <c r="E232" s="6">
        <v>2</v>
      </c>
      <c r="F232" s="3" t="s">
        <v>692</v>
      </c>
      <c r="G232" s="3" t="s">
        <v>74</v>
      </c>
    </row>
    <row r="233" spans="1:7" x14ac:dyDescent="0.25">
      <c r="A233" s="8" t="s">
        <v>12</v>
      </c>
      <c r="B233" s="21" t="str">
        <f>IFERROR(VLOOKUP(C233,'Master Component List'!A:C,3,FALSE),"Other")</f>
        <v>Capacitor</v>
      </c>
      <c r="C233" s="9" t="s">
        <v>75</v>
      </c>
      <c r="D233" s="9" t="str">
        <f>IFERROR(VLOOKUP(C233,'Master Component List'!A:B,2,FALSE),"")</f>
        <v>4u7 25V X5R 0603</v>
      </c>
      <c r="E233" s="11">
        <v>2</v>
      </c>
      <c r="F233" s="9" t="s">
        <v>693</v>
      </c>
      <c r="G233" s="9" t="s">
        <v>76</v>
      </c>
    </row>
    <row r="234" spans="1:7" x14ac:dyDescent="0.25">
      <c r="A234" s="2" t="s">
        <v>12</v>
      </c>
      <c r="B234" s="21" t="str">
        <f>IFERROR(VLOOKUP(C234,'Master Component List'!A:C,3,FALSE),"Other")</f>
        <v>Capacitor</v>
      </c>
      <c r="C234" s="3" t="s">
        <v>77</v>
      </c>
      <c r="D234" s="3" t="str">
        <f>IFERROR(VLOOKUP(C234,'Master Component List'!A:B,2,FALSE),"")</f>
        <v>Capacitor, Ceramic, SMD, 4u7, 50V, 5%, X7R, 0603</v>
      </c>
      <c r="E234" s="6">
        <v>15</v>
      </c>
      <c r="F234" s="3" t="s">
        <v>694</v>
      </c>
      <c r="G234" s="3" t="s">
        <v>79</v>
      </c>
    </row>
    <row r="235" spans="1:7" x14ac:dyDescent="0.25">
      <c r="A235" s="8" t="s">
        <v>12</v>
      </c>
      <c r="B235" s="21" t="str">
        <f>IFERROR(VLOOKUP(C235,'Master Component List'!A:C,3,FALSE),"Other")</f>
        <v>Capacitor</v>
      </c>
      <c r="C235" s="9" t="s">
        <v>88</v>
      </c>
      <c r="D235" s="9" t="str">
        <f>IFERROR(VLOOKUP(C235,'Master Component List'!A:B,2,FALSE),"")</f>
        <v>Radial Can - SMD Electric Double Layer Capacitor Fc 3.5V 220MF -20% +80% 0.421DIA 10.70MM</v>
      </c>
      <c r="E235" s="11">
        <v>1</v>
      </c>
      <c r="F235" s="9" t="s">
        <v>695</v>
      </c>
      <c r="G235" s="9" t="s">
        <v>88</v>
      </c>
    </row>
    <row r="236" spans="1:7" x14ac:dyDescent="0.25">
      <c r="A236" s="2" t="s">
        <v>12</v>
      </c>
      <c r="B236" s="22" t="str">
        <f>IFERROR(VLOOKUP(C236,'Master Component List'!A:C,3,FALSE),"Other")</f>
        <v>Connector</v>
      </c>
      <c r="C236" s="3" t="s">
        <v>95</v>
      </c>
      <c r="D236" s="3" t="str">
        <f>IFERROR(VLOOKUP(C236,'Master Component List'!A:B,2,FALSE),"")</f>
        <v>Super Seal Connector Header Through Hole, Right Angle 60 position 0.118" (3.00mm) ** Key 1 **</v>
      </c>
      <c r="E236" s="6">
        <v>1</v>
      </c>
      <c r="F236" s="3" t="s">
        <v>696</v>
      </c>
      <c r="G236" s="3" t="s">
        <v>95</v>
      </c>
    </row>
    <row r="237" spans="1:7" x14ac:dyDescent="0.25">
      <c r="A237" s="8" t="s">
        <v>12</v>
      </c>
      <c r="B237" s="22" t="str">
        <f>IFERROR(VLOOKUP(C237,'Master Component List'!A:C,3,FALSE),"Other")</f>
        <v>Connector</v>
      </c>
      <c r="C237" s="9" t="s">
        <v>97</v>
      </c>
      <c r="D237" s="9" t="str">
        <f>IFERROR(VLOOKUP(C237,'Master Component List'!A:B,2,FALSE),"")</f>
        <v>CONN HEADER VERT 14POS 1.27MM</v>
      </c>
      <c r="E237" s="11">
        <v>1</v>
      </c>
      <c r="F237" s="9" t="s">
        <v>476</v>
      </c>
      <c r="G237" s="9" t="s">
        <v>97</v>
      </c>
    </row>
    <row r="238" spans="1:7" x14ac:dyDescent="0.25">
      <c r="A238" s="2" t="s">
        <v>12</v>
      </c>
      <c r="B238" s="23" t="str">
        <f>IFERROR(VLOOKUP(C238,'Master Component List'!A:C,3,FALSE),"Other")</f>
        <v>Diode</v>
      </c>
      <c r="C238" s="3" t="s">
        <v>115</v>
      </c>
      <c r="D238" s="3" t="str">
        <f>IFERROR(VLOOKUP(C238,'Master Component List'!A:B,2,FALSE),"")</f>
        <v>Diode, SMD, 75V, 5%, 250mA, SOD123</v>
      </c>
      <c r="E238" s="6">
        <v>1</v>
      </c>
      <c r="F238" s="3" t="s">
        <v>673</v>
      </c>
      <c r="G238" s="3" t="s">
        <v>115</v>
      </c>
    </row>
    <row r="239" spans="1:7" x14ac:dyDescent="0.25">
      <c r="A239" s="8" t="s">
        <v>12</v>
      </c>
      <c r="B239" s="23" t="str">
        <f>IFERROR(VLOOKUP(C239,'Master Component List'!A:C,3,FALSE),"Other")</f>
        <v>Diode</v>
      </c>
      <c r="C239" s="9" t="s">
        <v>119</v>
      </c>
      <c r="D239" s="9" t="str">
        <f>IFERROR(VLOOKUP(C239,'Master Component List'!A:B,2,FALSE),"")</f>
        <v>Rectifier Diode, Schottky, 1 Phase, 1 Element, 0.1A, 15V V(RRM), Silicon</v>
      </c>
      <c r="E239" s="11">
        <v>1</v>
      </c>
      <c r="F239" s="9" t="s">
        <v>512</v>
      </c>
      <c r="G239" s="9" t="s">
        <v>119</v>
      </c>
    </row>
    <row r="240" spans="1:7" x14ac:dyDescent="0.25">
      <c r="A240" s="2" t="s">
        <v>12</v>
      </c>
      <c r="B240" s="23" t="str">
        <f>IFERROR(VLOOKUP(C240,'Master Component List'!A:C,3,FALSE),"Other")</f>
        <v>Diode</v>
      </c>
      <c r="C240" s="3" t="s">
        <v>123</v>
      </c>
      <c r="D240" s="3" t="str">
        <f>IFERROR(VLOOKUP(C240,'Master Component List'!A:B,2,FALSE),"")</f>
        <v>WE-TVS TVS Diode – Super Speed Series, DFN1210-6L, 2 Channel, 3.3V, 0.18pF</v>
      </c>
      <c r="E240" s="6">
        <v>11</v>
      </c>
      <c r="F240" s="3" t="s">
        <v>697</v>
      </c>
      <c r="G240" s="3" t="s">
        <v>123</v>
      </c>
    </row>
    <row r="241" spans="1:7" x14ac:dyDescent="0.25">
      <c r="A241" s="8" t="s">
        <v>12</v>
      </c>
      <c r="B241" s="23" t="str">
        <f>IFERROR(VLOOKUP(C241,'Master Component List'!A:C,3,FALSE),"Other")</f>
        <v>Diode</v>
      </c>
      <c r="C241" s="9" t="s">
        <v>137</v>
      </c>
      <c r="D241" s="9" t="str">
        <f>IFERROR(VLOOKUP(C241,'Master Component List'!A:B,2,FALSE),"")</f>
        <v>Rectifier Diode, 1 Phase, 1 Element, 1A, 1000V V(RRM), Silicon</v>
      </c>
      <c r="E241" s="11">
        <v>4</v>
      </c>
      <c r="F241" s="9" t="s">
        <v>698</v>
      </c>
      <c r="G241" s="9" t="s">
        <v>137</v>
      </c>
    </row>
    <row r="242" spans="1:7" x14ac:dyDescent="0.25">
      <c r="A242" s="2" t="s">
        <v>12</v>
      </c>
      <c r="B242" s="23" t="str">
        <f>IFERROR(VLOOKUP(C242,'Master Component List'!A:C,3,FALSE),"Other")</f>
        <v>Other</v>
      </c>
      <c r="C242" s="3" t="s">
        <v>699</v>
      </c>
      <c r="D242" s="3" t="str">
        <f>IFERROR(VLOOKUP(C242,'Master Component List'!A:B,2,FALSE),"")</f>
        <v/>
      </c>
      <c r="E242" s="6">
        <v>2</v>
      </c>
      <c r="F242" s="3" t="s">
        <v>700</v>
      </c>
      <c r="G242" s="3"/>
    </row>
    <row r="243" spans="1:7" x14ac:dyDescent="0.25">
      <c r="A243" s="8" t="s">
        <v>12</v>
      </c>
      <c r="B243" s="23" t="str">
        <f>IFERROR(VLOOKUP(C243,'Master Component List'!A:C,3,FALSE),"Other")</f>
        <v>Diode</v>
      </c>
      <c r="C243" s="9" t="s">
        <v>141</v>
      </c>
      <c r="D243" s="9" t="str">
        <f>IFERROR(VLOOKUP(C243,'Master Component List'!A:B,2,FALSE),"")</f>
        <v>Rectifier Diode, Schottky, 1 Phase, 1 Element, 4.2A, 60V V(RRM), Silicon</v>
      </c>
      <c r="E243" s="11">
        <v>1</v>
      </c>
      <c r="F243" s="9" t="s">
        <v>701</v>
      </c>
      <c r="G243" s="9" t="s">
        <v>141</v>
      </c>
    </row>
    <row r="244" spans="1:7" x14ac:dyDescent="0.25">
      <c r="A244" s="2" t="s">
        <v>12</v>
      </c>
      <c r="B244" s="23" t="str">
        <f>IFERROR(VLOOKUP(C244,'Master Component List'!A:C,3,FALSE),"Other")</f>
        <v>Diode</v>
      </c>
      <c r="C244" s="3" t="s">
        <v>149</v>
      </c>
      <c r="D244" s="3" t="str">
        <f>IFERROR(VLOOKUP(C244,'Master Component List'!A:B,2,FALSE),"")</f>
        <v>Trans Voltage Suppressor Diode, 3000W, 28V V(RWM), Unidirectional, 1 Element, Silicon, DO-214AB</v>
      </c>
      <c r="E244" s="6">
        <v>1</v>
      </c>
      <c r="F244" s="3" t="s">
        <v>571</v>
      </c>
      <c r="G244" s="3" t="s">
        <v>149</v>
      </c>
    </row>
    <row r="245" spans="1:7" x14ac:dyDescent="0.25">
      <c r="A245" s="8" t="s">
        <v>12</v>
      </c>
      <c r="B245" s="24" t="str">
        <f>IFERROR(VLOOKUP(C245,'Master Component List'!A:C,3,FALSE),"Other")</f>
        <v>IC</v>
      </c>
      <c r="C245" s="9" t="s">
        <v>162</v>
      </c>
      <c r="D245" s="9" t="str">
        <f>IFERROR(VLOOKUP(C245,'Master Component List'!A:B,2,FALSE),"")</f>
        <v>AT24C16D Series 16-Kbit (2K x 8) I²C-Compatible (2-Wire) Serial EEPROM-SOT-23-5</v>
      </c>
      <c r="E245" s="11">
        <v>1</v>
      </c>
      <c r="F245" s="9" t="s">
        <v>702</v>
      </c>
      <c r="G245" s="9" t="s">
        <v>162</v>
      </c>
    </row>
    <row r="246" spans="1:7" x14ac:dyDescent="0.25">
      <c r="A246" s="2" t="s">
        <v>12</v>
      </c>
      <c r="B246" s="24" t="str">
        <f>IFERROR(VLOOKUP(C246,'Master Component List'!A:C,3,FALSE),"Other")</f>
        <v>IC</v>
      </c>
      <c r="C246" s="3" t="s">
        <v>167</v>
      </c>
      <c r="D246" s="3" t="str">
        <f>IFERROR(VLOOKUP(C246,'Master Component List'!A:B,2,FALSE),"")</f>
        <v>Automotive 40-V, 12-A H-bridge driver with integrated current sensing and feedback 14-VQFN-HR -40 to 125</v>
      </c>
      <c r="E246" s="6">
        <v>6</v>
      </c>
      <c r="F246" s="3" t="s">
        <v>703</v>
      </c>
      <c r="G246" s="3" t="s">
        <v>167</v>
      </c>
    </row>
    <row r="247" spans="1:7" x14ac:dyDescent="0.25">
      <c r="A247" s="8" t="s">
        <v>12</v>
      </c>
      <c r="B247" s="24" t="str">
        <f>IFERROR(VLOOKUP(C247,'Master Component List'!A:C,3,FALSE),"Other")</f>
        <v>IC</v>
      </c>
      <c r="C247" s="9" t="s">
        <v>169</v>
      </c>
      <c r="D247" s="9" t="str">
        <f>IFERROR(VLOOKUP(C247,'Master Component List'!A:B,2,FALSE),"")</f>
        <v>CMOS Output Clock Oscillator, 20MHz Nom</v>
      </c>
      <c r="E247" s="11">
        <v>1</v>
      </c>
      <c r="F247" s="9" t="s">
        <v>704</v>
      </c>
      <c r="G247" s="9" t="s">
        <v>169</v>
      </c>
    </row>
    <row r="248" spans="1:7" x14ac:dyDescent="0.25">
      <c r="A248" s="2" t="s">
        <v>12</v>
      </c>
      <c r="B248" s="24" t="str">
        <f>IFERROR(VLOOKUP(C248,'Master Component List'!A:C,3,FALSE),"Other")</f>
        <v>IC</v>
      </c>
      <c r="C248" s="3" t="s">
        <v>184</v>
      </c>
      <c r="D248" s="3" t="str">
        <f>IFERROR(VLOOKUP(C248,'Master Component List'!A:B,2,FALSE),"")</f>
        <v>SIMPLE SWITCHER POWER CONVERTER Buck Switching Regulator IC Positive Adjustable 0.8V 1 Output 1A SOT-23-6</v>
      </c>
      <c r="E248" s="6">
        <v>2</v>
      </c>
      <c r="F248" s="3" t="s">
        <v>478</v>
      </c>
      <c r="G248" s="3" t="s">
        <v>184</v>
      </c>
    </row>
    <row r="249" spans="1:7" x14ac:dyDescent="0.25">
      <c r="A249" s="8" t="s">
        <v>12</v>
      </c>
      <c r="B249" s="24" t="str">
        <f>IFERROR(VLOOKUP(C249,'Master Component List'!A:C,3,FALSE),"Other")</f>
        <v>IC</v>
      </c>
      <c r="C249" s="9" t="s">
        <v>186</v>
      </c>
      <c r="D249" s="9" t="str">
        <f>IFERROR(VLOOKUP(C249,'Master Component List'!A:B,2,FALSE),"")</f>
        <v>Fixed/Adjustable Positive LDO Regulator, 1.25V Min, 29V Max, 0.45V Dropout, BIPolar, PDSO8</v>
      </c>
      <c r="E249" s="11">
        <v>4</v>
      </c>
      <c r="F249" s="9" t="s">
        <v>705</v>
      </c>
      <c r="G249" s="9" t="s">
        <v>186</v>
      </c>
    </row>
    <row r="250" spans="1:7" x14ac:dyDescent="0.25">
      <c r="A250" s="2" t="s">
        <v>12</v>
      </c>
      <c r="B250" s="24" t="str">
        <f>IFERROR(VLOOKUP(C250,'Master Component List'!A:C,3,FALSE),"Other")</f>
        <v>IC</v>
      </c>
      <c r="C250" s="3" t="s">
        <v>188</v>
      </c>
      <c r="D250" s="3" t="str">
        <f>IFERROR(VLOOKUP(C250,'Master Component List'!A:B,2,FALSE),"")</f>
        <v>Power Supply Support Circuit, Adjustable, 1 Channel, PDSO12</v>
      </c>
      <c r="E250" s="6">
        <v>1</v>
      </c>
      <c r="F250" s="3" t="s">
        <v>525</v>
      </c>
      <c r="G250" s="3" t="s">
        <v>188</v>
      </c>
    </row>
    <row r="251" spans="1:7" x14ac:dyDescent="0.25">
      <c r="A251" s="8" t="s">
        <v>12</v>
      </c>
      <c r="B251" s="24" t="str">
        <f>IFERROR(VLOOKUP(C251,'Master Component List'!A:C,3,FALSE),"Other")</f>
        <v>IC</v>
      </c>
      <c r="C251" s="9" t="s">
        <v>190</v>
      </c>
      <c r="D251" s="9" t="str">
        <f>IFERROR(VLOOKUP(C251,'Master Component List'!A:B,2,FALSE),"")</f>
        <v>NAND Flash Memory 1Gbit Serial-SPI 3V 8-Pin WSON T/R</v>
      </c>
      <c r="E251" s="11">
        <v>1</v>
      </c>
      <c r="F251" s="9" t="s">
        <v>576</v>
      </c>
      <c r="G251" s="9" t="s">
        <v>192</v>
      </c>
    </row>
    <row r="252" spans="1:7" x14ac:dyDescent="0.25">
      <c r="A252" s="2" t="s">
        <v>12</v>
      </c>
      <c r="B252" s="24" t="str">
        <f>IFERROR(VLOOKUP(C252,'Master Component List'!A:C,3,FALSE),"Other")</f>
        <v>IC</v>
      </c>
      <c r="C252" s="3" t="s">
        <v>193</v>
      </c>
      <c r="D252" s="3" t="str">
        <f>IFERROR(VLOOKUP(C252,'Master Component List'!A:B,2,FALSE),"")</f>
        <v>Low-Voltage Translating 22-Bit Spi I/O Expander - Aec_Q100 Compliant Rohs Compliant: Yes</v>
      </c>
      <c r="E252" s="6">
        <v>2</v>
      </c>
      <c r="F252" s="3" t="s">
        <v>706</v>
      </c>
      <c r="G252" s="3" t="s">
        <v>193</v>
      </c>
    </row>
    <row r="253" spans="1:7" x14ac:dyDescent="0.25">
      <c r="A253" s="8" t="s">
        <v>12</v>
      </c>
      <c r="B253" s="24" t="str">
        <f>IFERROR(VLOOKUP(C253,'Master Component List'!A:C,3,FALSE),"Other")</f>
        <v>IC</v>
      </c>
      <c r="C253" s="9" t="s">
        <v>195</v>
      </c>
      <c r="D253" s="9" t="str">
        <f>IFERROR(VLOOKUP(C253,'Master Component List'!A:B,2,FALSE),"")</f>
        <v>LVCMOS Output Clock Oscillator, 0.032768MHz Nom</v>
      </c>
      <c r="E253" s="11">
        <v>1</v>
      </c>
      <c r="F253" s="9" t="s">
        <v>515</v>
      </c>
      <c r="G253" s="9" t="s">
        <v>195</v>
      </c>
    </row>
    <row r="254" spans="1:7" x14ac:dyDescent="0.25">
      <c r="A254" s="2" t="s">
        <v>12</v>
      </c>
      <c r="B254" s="24" t="str">
        <f>IFERROR(VLOOKUP(C254,'Master Component List'!A:C,3,FALSE),"Other")</f>
        <v>Other</v>
      </c>
      <c r="C254" s="3" t="s">
        <v>523</v>
      </c>
      <c r="D254" s="3" t="str">
        <f>IFERROR(VLOOKUP(C254,'Master Component List'!A:B,2,FALSE),"")</f>
        <v/>
      </c>
      <c r="E254" s="6">
        <v>1</v>
      </c>
      <c r="F254" s="3" t="s">
        <v>707</v>
      </c>
      <c r="G254" s="3"/>
    </row>
    <row r="255" spans="1:7" x14ac:dyDescent="0.25">
      <c r="A255" s="8" t="s">
        <v>12</v>
      </c>
      <c r="B255" s="24" t="str">
        <f>IFERROR(VLOOKUP(C255,'Master Component List'!A:C,3,FALSE),"Other")</f>
        <v>IC</v>
      </c>
      <c r="C255" s="9" t="s">
        <v>203</v>
      </c>
      <c r="D255" s="9" t="str">
        <f>IFERROR(VLOOKUP(C255,'Master Component List'!A:B,2,FALSE),"")</f>
        <v>Arm Cortex-M4 MCU 170 MHz with 512 Kbytes of Flash memory, Math Accelerator, HR Timer, High Analog level integration, Crypto</v>
      </c>
      <c r="E255" s="11">
        <v>1</v>
      </c>
      <c r="F255" s="9" t="s">
        <v>516</v>
      </c>
      <c r="G255" s="9" t="s">
        <v>203</v>
      </c>
    </row>
    <row r="256" spans="1:7" x14ac:dyDescent="0.25">
      <c r="A256" s="2" t="s">
        <v>12</v>
      </c>
      <c r="B256" s="24" t="str">
        <f>IFERROR(VLOOKUP(C256,'Master Component List'!A:C,3,FALSE),"Other")</f>
        <v>IC</v>
      </c>
      <c r="C256" s="3" t="s">
        <v>205</v>
      </c>
      <c r="D256" s="3" t="str">
        <f>IFERROR(VLOOKUP(C256,'Master Component List'!A:B,2,FALSE),"")</f>
        <v>Interface Circuit, PDSO8</v>
      </c>
      <c r="E256" s="6">
        <v>2</v>
      </c>
      <c r="F256" s="3" t="s">
        <v>518</v>
      </c>
      <c r="G256" s="3" t="s">
        <v>205</v>
      </c>
    </row>
    <row r="257" spans="1:7" x14ac:dyDescent="0.25">
      <c r="A257" s="8" t="s">
        <v>12</v>
      </c>
      <c r="B257" s="25" t="str">
        <f>IFERROR(VLOOKUP(C257,'Master Component List'!A:C,3,FALSE),"Other")</f>
        <v>Inductor</v>
      </c>
      <c r="C257" s="9" t="s">
        <v>211</v>
      </c>
      <c r="D257" s="9" t="str">
        <f>IFERROR(VLOOKUP(C257,'Master Component List'!A:B,2,FALSE),"")</f>
        <v>General Purpose Inductor, 8.2uH, 20%, 1 Element, Powdered  Iron-Core, SMD, 1816</v>
      </c>
      <c r="E257" s="11">
        <v>1</v>
      </c>
      <c r="F257" s="9" t="s">
        <v>527</v>
      </c>
      <c r="G257" s="9" t="s">
        <v>211</v>
      </c>
    </row>
    <row r="258" spans="1:7" x14ac:dyDescent="0.25">
      <c r="A258" s="2" t="s">
        <v>12</v>
      </c>
      <c r="B258" s="25" t="str">
        <f>IFERROR(VLOOKUP(C258,'Master Component List'!A:C,3,FALSE),"Other")</f>
        <v>Inductor</v>
      </c>
      <c r="C258" s="3" t="s">
        <v>214</v>
      </c>
      <c r="D258" s="3" t="str">
        <f>IFERROR(VLOOKUP(C258,'Master Component List'!A:B,2,FALSE),"")</f>
        <v>General Purpose Inductor, 22uH, 20%, 1 Element, Metal Alloy-Core, SMD, 1616</v>
      </c>
      <c r="E258" s="6">
        <v>1</v>
      </c>
      <c r="F258" s="3" t="s">
        <v>528</v>
      </c>
      <c r="G258" s="3" t="s">
        <v>214</v>
      </c>
    </row>
    <row r="259" spans="1:7" x14ac:dyDescent="0.25">
      <c r="A259" s="8" t="s">
        <v>12</v>
      </c>
      <c r="B259" s="26" t="str">
        <f>IFERROR(VLOOKUP(C259,'Master Component List'!A:C,3,FALSE),"Other")</f>
        <v>LED</v>
      </c>
      <c r="C259" s="9" t="s">
        <v>227</v>
      </c>
      <c r="D259" s="9" t="str">
        <f>IFERROR(VLOOKUP(C259,'Master Component List'!A:B,2,FALSE),"")</f>
        <v>Led, Green, 570 Nm, 2 V, 30 Ma, 40 Mcd Rohs Compliant: Yes</v>
      </c>
      <c r="E259" s="11">
        <v>8</v>
      </c>
      <c r="F259" s="9" t="s">
        <v>708</v>
      </c>
      <c r="G259" s="9" t="s">
        <v>229</v>
      </c>
    </row>
    <row r="260" spans="1:7" x14ac:dyDescent="0.25">
      <c r="A260" s="2" t="s">
        <v>12</v>
      </c>
      <c r="B260" s="26" t="str">
        <f>IFERROR(VLOOKUP(C260,'Master Component List'!A:C,3,FALSE),"Other")</f>
        <v>LED</v>
      </c>
      <c r="C260" s="3" t="s">
        <v>230</v>
      </c>
      <c r="D260" s="3" t="str">
        <f>IFERROR(VLOOKUP(C260,'Master Component List'!A:B,2,FALSE),"")</f>
        <v>LED 0805 RED</v>
      </c>
      <c r="E260" s="6">
        <v>2</v>
      </c>
      <c r="F260" s="3" t="s">
        <v>709</v>
      </c>
      <c r="G260" s="3" t="s">
        <v>231</v>
      </c>
    </row>
    <row r="261" spans="1:7" x14ac:dyDescent="0.25">
      <c r="A261" s="8" t="s">
        <v>12</v>
      </c>
      <c r="B261" s="26" t="str">
        <f>IFERROR(VLOOKUP(C261,'Master Component List'!A:C,3,FALSE),"Other")</f>
        <v>LED</v>
      </c>
      <c r="C261" s="9" t="s">
        <v>234</v>
      </c>
      <c r="D261" s="9" t="str">
        <f>IFERROR(VLOOKUP(C261,'Master Component List'!A:B,2,FALSE),"")</f>
        <v>LED Green 0603</v>
      </c>
      <c r="E261" s="11">
        <v>4</v>
      </c>
      <c r="F261" s="9" t="s">
        <v>710</v>
      </c>
      <c r="G261" s="9" t="s">
        <v>235</v>
      </c>
    </row>
    <row r="262" spans="1:7" x14ac:dyDescent="0.25">
      <c r="A262" s="2" t="s">
        <v>12</v>
      </c>
      <c r="B262" s="27" t="str">
        <f>IFERROR(VLOOKUP(C262,'Master Component List'!A:C,3,FALSE),"Other")</f>
        <v>Resistor</v>
      </c>
      <c r="C262" s="3" t="s">
        <v>277</v>
      </c>
      <c r="D262" s="3" t="str">
        <f>IFERROR(VLOOKUP(C262,'Master Component List'!A:B,2,FALSE),"")</f>
        <v>Metal Glaze/thick Film, 0.063W, 0ohm, Surface Mount, 0402</v>
      </c>
      <c r="E262" s="6">
        <v>4</v>
      </c>
      <c r="F262" s="3" t="s">
        <v>711</v>
      </c>
      <c r="G262" s="3" t="s">
        <v>280</v>
      </c>
    </row>
    <row r="263" spans="1:7" x14ac:dyDescent="0.25">
      <c r="A263" s="8" t="s">
        <v>12</v>
      </c>
      <c r="B263" s="27" t="str">
        <f>IFERROR(VLOOKUP(C263,'Master Component List'!A:C,3,FALSE),"Other")</f>
        <v>Resistor</v>
      </c>
      <c r="C263" s="9" t="s">
        <v>298</v>
      </c>
      <c r="D263" s="9" t="str">
        <f>IFERROR(VLOOKUP(C263,'Master Component List'!A:B,2,FALSE),"")</f>
        <v>10k 1% 0402 0.063W</v>
      </c>
      <c r="E263" s="11">
        <v>8</v>
      </c>
      <c r="F263" s="9" t="s">
        <v>712</v>
      </c>
      <c r="G263" s="9" t="s">
        <v>300</v>
      </c>
    </row>
    <row r="264" spans="1:7" x14ac:dyDescent="0.25">
      <c r="A264" s="2" t="s">
        <v>12</v>
      </c>
      <c r="B264" s="27" t="str">
        <f>IFERROR(VLOOKUP(C264,'Master Component List'!A:C,3,FALSE),"Other")</f>
        <v>Resistor</v>
      </c>
      <c r="C264" s="3" t="s">
        <v>312</v>
      </c>
      <c r="D264" s="3" t="str">
        <f>IFERROR(VLOOKUP(C264,'Master Component List'!A:B,2,FALSE),"")</f>
        <v>Res Thin Film 0603 11.8K Ohm 0.1% 0.1W(1/10W) ±25ppm/C Pad SMD Automotive T/R</v>
      </c>
      <c r="E264" s="6">
        <v>1</v>
      </c>
      <c r="F264" s="3" t="s">
        <v>590</v>
      </c>
      <c r="G264" s="3" t="s">
        <v>314</v>
      </c>
    </row>
    <row r="265" spans="1:7" x14ac:dyDescent="0.25">
      <c r="A265" s="8" t="s">
        <v>12</v>
      </c>
      <c r="B265" s="27" t="str">
        <f>IFERROR(VLOOKUP(C265,'Master Component List'!A:C,3,FALSE),"Other")</f>
        <v>Resistor</v>
      </c>
      <c r="C265" s="9" t="s">
        <v>317</v>
      </c>
      <c r="D265" s="9" t="str">
        <f>IFERROR(VLOOKUP(C265,'Master Component List'!A:B,2,FALSE),"")</f>
        <v>150k 1% 0603 250mW</v>
      </c>
      <c r="E265" s="11">
        <v>23</v>
      </c>
      <c r="F265" s="9" t="s">
        <v>713</v>
      </c>
      <c r="G265" s="9" t="s">
        <v>319</v>
      </c>
    </row>
    <row r="266" spans="1:7" x14ac:dyDescent="0.25">
      <c r="A266" s="2" t="s">
        <v>12</v>
      </c>
      <c r="B266" s="27" t="str">
        <f>IFERROR(VLOOKUP(C266,'Master Component List'!A:C,3,FALSE),"Other")</f>
        <v>Resistor</v>
      </c>
      <c r="C266" s="3" t="s">
        <v>331</v>
      </c>
      <c r="D266" s="3" t="str">
        <f>IFERROR(VLOOKUP(C266,'Master Component List'!A:B,2,FALSE),"")</f>
        <v>Fixed Resistor, Metal Glaze/thick Film, 0.75W, 1000ohm, 250V, 1% +/-Tol, 100ppm/Cel, Surface Mount, 1206</v>
      </c>
      <c r="E266" s="6">
        <v>22</v>
      </c>
      <c r="F266" s="3" t="s">
        <v>714</v>
      </c>
      <c r="G266" s="3" t="s">
        <v>333</v>
      </c>
    </row>
    <row r="267" spans="1:7" x14ac:dyDescent="0.25">
      <c r="A267" s="8" t="s">
        <v>12</v>
      </c>
      <c r="B267" s="27" t="str">
        <f>IFERROR(VLOOKUP(C267,'Master Component List'!A:C,3,FALSE),"Other")</f>
        <v>Resistor</v>
      </c>
      <c r="C267" s="9" t="s">
        <v>337</v>
      </c>
      <c r="D267" s="9" t="str">
        <f>IFERROR(VLOOKUP(C267,'Master Component List'!A:B,2,FALSE),"")</f>
        <v>Res Thick Film 0603 1.5K Ohm 1% 0.1W(1/10W) ±100ppm/C Pad SMD T/R</v>
      </c>
      <c r="E267" s="11">
        <v>1</v>
      </c>
      <c r="F267" s="9" t="s">
        <v>715</v>
      </c>
      <c r="G267" s="9" t="s">
        <v>339</v>
      </c>
    </row>
    <row r="268" spans="1:7" x14ac:dyDescent="0.25">
      <c r="A268" s="2" t="s">
        <v>12</v>
      </c>
      <c r="B268" s="27" t="str">
        <f>IFERROR(VLOOKUP(C268,'Master Component List'!A:C,3,FALSE),"Other")</f>
        <v>Resistor</v>
      </c>
      <c r="C268" s="3" t="s">
        <v>310</v>
      </c>
      <c r="D268" s="3" t="str">
        <f>IFERROR(VLOOKUP(C268,'Master Component List'!A:B,2,FALSE),"")</f>
        <v>Fixed Resistor, Thin Film, 0.1W, 22100ohm, 75V, 0.1% +/-Tol, 25ppm/Cel, Surface Mount, 0603</v>
      </c>
      <c r="E268" s="6">
        <v>1</v>
      </c>
      <c r="F268" s="3" t="s">
        <v>591</v>
      </c>
      <c r="G268" s="3" t="s">
        <v>356</v>
      </c>
    </row>
    <row r="269" spans="1:7" x14ac:dyDescent="0.25">
      <c r="A269" s="8" t="s">
        <v>12</v>
      </c>
      <c r="B269" s="27" t="str">
        <f>IFERROR(VLOOKUP(C269,'Master Component List'!A:C,3,FALSE),"Other")</f>
        <v>Resistor</v>
      </c>
      <c r="C269" s="9" t="s">
        <v>360</v>
      </c>
      <c r="D269" s="9" t="str">
        <f>IFERROR(VLOOKUP(C269,'Master Component List'!A:B,2,FALSE),"")</f>
        <v>240k 1% 0603 250mW</v>
      </c>
      <c r="E269" s="11">
        <v>1</v>
      </c>
      <c r="F269" s="9" t="s">
        <v>622</v>
      </c>
      <c r="G269" s="9" t="s">
        <v>362</v>
      </c>
    </row>
    <row r="270" spans="1:7" x14ac:dyDescent="0.25">
      <c r="A270" s="2" t="s">
        <v>12</v>
      </c>
      <c r="B270" s="27" t="str">
        <f>IFERROR(VLOOKUP(C270,'Master Component List'!A:C,3,FALSE),"Other")</f>
        <v>Resistor</v>
      </c>
      <c r="C270" s="3" t="s">
        <v>366</v>
      </c>
      <c r="D270" s="3" t="str">
        <f>IFERROR(VLOOKUP(C270,'Master Component List'!A:B,2,FALSE),"")</f>
        <v>2M2 1% 0603 250mW</v>
      </c>
      <c r="E270" s="6">
        <v>2</v>
      </c>
      <c r="F270" s="3" t="s">
        <v>716</v>
      </c>
      <c r="G270" s="3" t="s">
        <v>368</v>
      </c>
    </row>
    <row r="271" spans="1:7" x14ac:dyDescent="0.25">
      <c r="A271" s="8" t="s">
        <v>12</v>
      </c>
      <c r="B271" s="27" t="str">
        <f>IFERROR(VLOOKUP(C271,'Master Component List'!A:C,3,FALSE),"Other")</f>
        <v>Resistor</v>
      </c>
      <c r="C271" s="9" t="s">
        <v>374</v>
      </c>
      <c r="D271" s="9" t="str">
        <f>IFERROR(VLOOKUP(C271,'Master Component List'!A:B,2,FALSE),"")</f>
        <v>2k2 1% 0402 0.063W</v>
      </c>
      <c r="E271" s="11">
        <v>14</v>
      </c>
      <c r="F271" s="9" t="s">
        <v>717</v>
      </c>
      <c r="G271" s="9" t="s">
        <v>376</v>
      </c>
    </row>
    <row r="272" spans="1:7" x14ac:dyDescent="0.25">
      <c r="A272" s="2" t="s">
        <v>12</v>
      </c>
      <c r="B272" s="27" t="str">
        <f>IFERROR(VLOOKUP(C272,'Master Component List'!A:C,3,FALSE),"Other")</f>
        <v>Resistor</v>
      </c>
      <c r="C272" s="3" t="s">
        <v>377</v>
      </c>
      <c r="D272" s="3" t="str">
        <f>IFERROR(VLOOKUP(C272,'Master Component List'!A:B,2,FALSE),"")</f>
        <v>2k2, 1%, 0603 250mW</v>
      </c>
      <c r="E272" s="6">
        <v>1</v>
      </c>
      <c r="F272" s="3" t="s">
        <v>592</v>
      </c>
      <c r="G272" s="3" t="s">
        <v>379</v>
      </c>
    </row>
    <row r="273" spans="1:7" x14ac:dyDescent="0.25">
      <c r="A273" s="8" t="s">
        <v>12</v>
      </c>
      <c r="B273" s="27" t="str">
        <f>IFERROR(VLOOKUP(C273,'Master Component List'!A:C,3,FALSE),"Other")</f>
        <v>Resistor</v>
      </c>
      <c r="C273" s="9" t="s">
        <v>386</v>
      </c>
      <c r="D273" s="9" t="str">
        <f>IFERROR(VLOOKUP(C273,'Master Component List'!A:B,2,FALSE),"")</f>
        <v>390k 1% 0603 250mW</v>
      </c>
      <c r="E273" s="11">
        <v>1</v>
      </c>
      <c r="F273" s="9" t="s">
        <v>718</v>
      </c>
      <c r="G273" s="9" t="s">
        <v>388</v>
      </c>
    </row>
    <row r="274" spans="1:7" x14ac:dyDescent="0.25">
      <c r="A274" s="2" t="s">
        <v>12</v>
      </c>
      <c r="B274" s="27" t="str">
        <f>IFERROR(VLOOKUP(C274,'Master Component List'!A:C,3,FALSE),"Other")</f>
        <v>Resistor</v>
      </c>
      <c r="C274" s="3" t="s">
        <v>389</v>
      </c>
      <c r="D274" s="3" t="str">
        <f>IFERROR(VLOOKUP(C274,'Master Component List'!A:B,2,FALSE),"")</f>
        <v>3k3 1% 0603 0.1 mW</v>
      </c>
      <c r="E274" s="6">
        <v>8</v>
      </c>
      <c r="F274" s="3" t="s">
        <v>719</v>
      </c>
      <c r="G274" s="3" t="s">
        <v>391</v>
      </c>
    </row>
    <row r="275" spans="1:7" x14ac:dyDescent="0.25">
      <c r="A275" s="8" t="s">
        <v>12</v>
      </c>
      <c r="B275" s="27" t="str">
        <f>IFERROR(VLOOKUP(C275,'Master Component List'!A:C,3,FALSE),"Other")</f>
        <v>Resistor</v>
      </c>
      <c r="C275" s="9" t="s">
        <v>392</v>
      </c>
      <c r="D275" s="9" t="str">
        <f>IFERROR(VLOOKUP(C275,'Master Component List'!A:B,2,FALSE),"")</f>
        <v>Fixed Resistor, Metal Glaze/thick Film, 0.33W, 3300ohm, 75V, 1% +/-Tol, 100ppm/Cel, Surface Mount, 0603</v>
      </c>
      <c r="E275" s="11">
        <v>22</v>
      </c>
      <c r="F275" s="9" t="s">
        <v>720</v>
      </c>
      <c r="G275" s="9" t="s">
        <v>394</v>
      </c>
    </row>
    <row r="276" spans="1:7" x14ac:dyDescent="0.25">
      <c r="A276" s="2" t="s">
        <v>12</v>
      </c>
      <c r="B276" s="27" t="str">
        <f>IFERROR(VLOOKUP(C276,'Master Component List'!A:C,3,FALSE),"Other")</f>
        <v>Resistor</v>
      </c>
      <c r="C276" s="3" t="s">
        <v>405</v>
      </c>
      <c r="D276" s="3" t="str">
        <f>IFERROR(VLOOKUP(C276,'Master Component List'!A:B,2,FALSE),"")</f>
        <v>4k7 1% 0603</v>
      </c>
      <c r="E276" s="6">
        <v>1</v>
      </c>
      <c r="F276" s="3" t="s">
        <v>679</v>
      </c>
      <c r="G276" s="3" t="s">
        <v>406</v>
      </c>
    </row>
    <row r="277" spans="1:7" x14ac:dyDescent="0.25">
      <c r="A277" s="8" t="s">
        <v>12</v>
      </c>
      <c r="B277" s="27" t="str">
        <f>IFERROR(VLOOKUP(C277,'Master Component List'!A:C,3,FALSE),"Other")</f>
        <v>Resistor</v>
      </c>
      <c r="C277" s="9" t="s">
        <v>407</v>
      </c>
      <c r="D277" s="9" t="str">
        <f>IFERROR(VLOOKUP(C277,'Master Component List'!A:B,2,FALSE),"")</f>
        <v>4k7 1% 0603 NTC</v>
      </c>
      <c r="E277" s="11">
        <v>6</v>
      </c>
      <c r="F277" s="9" t="s">
        <v>721</v>
      </c>
      <c r="G277" s="9" t="s">
        <v>408</v>
      </c>
    </row>
    <row r="278" spans="1:7" x14ac:dyDescent="0.25">
      <c r="A278" s="2" t="s">
        <v>12</v>
      </c>
      <c r="B278" s="27" t="str">
        <f>IFERROR(VLOOKUP(C278,'Master Component List'!A:C,3,FALSE),"Other")</f>
        <v>Resistor</v>
      </c>
      <c r="C278" s="3" t="s">
        <v>409</v>
      </c>
      <c r="D278" s="3" t="str">
        <f>IFERROR(VLOOKUP(C278,'Master Component List'!A:B,2,FALSE),"")</f>
        <v>Fixed Resistor, Metal Glaze/thick Film, 0.1W, 54900ohm, 75V, 1% +/-Tol, 100ppm/Cel, Surface Mount, 0603</v>
      </c>
      <c r="E278" s="6">
        <v>44</v>
      </c>
      <c r="F278" s="3" t="s">
        <v>722</v>
      </c>
      <c r="G278" s="3" t="s">
        <v>411</v>
      </c>
    </row>
    <row r="279" spans="1:7" x14ac:dyDescent="0.25">
      <c r="A279" s="8" t="s">
        <v>12</v>
      </c>
      <c r="B279" s="27" t="str">
        <f>IFERROR(VLOOKUP(C279,'Master Component List'!A:C,3,FALSE),"Other")</f>
        <v>Resistor</v>
      </c>
      <c r="C279" s="9" t="s">
        <v>420</v>
      </c>
      <c r="D279" s="9" t="str">
        <f>IFERROR(VLOOKUP(C279,'Master Component List'!A:B,2,FALSE),"")</f>
        <v>Res Thin Film 0603 69.8K Ohm 0.1% 0.1W(1/10W) ±25ppm/°C Molded SMD Punched Carrier T/R</v>
      </c>
      <c r="E279" s="11">
        <v>1</v>
      </c>
      <c r="F279" s="9" t="s">
        <v>594</v>
      </c>
      <c r="G279" s="9" t="s">
        <v>422</v>
      </c>
    </row>
    <row r="280" spans="1:7" x14ac:dyDescent="0.25">
      <c r="A280" s="2" t="s">
        <v>12</v>
      </c>
      <c r="B280" s="27" t="str">
        <f>IFERROR(VLOOKUP(C280,'Master Component List'!A:C,3,FALSE),"Other")</f>
        <v>Resistor</v>
      </c>
      <c r="C280" s="3" t="s">
        <v>424</v>
      </c>
      <c r="D280" s="3" t="str">
        <f>IFERROR(VLOOKUP(C280,'Master Component List'!A:B,2,FALSE),"")</f>
        <v>6k2 1% 0603 100mW Thick Film</v>
      </c>
      <c r="E280" s="6">
        <v>2</v>
      </c>
      <c r="F280" s="3" t="s">
        <v>723</v>
      </c>
      <c r="G280" s="3" t="s">
        <v>426</v>
      </c>
    </row>
    <row r="281" spans="1:7" x14ac:dyDescent="0.25">
      <c r="A281" s="8" t="s">
        <v>12</v>
      </c>
      <c r="B281" s="27" t="str">
        <f>IFERROR(VLOOKUP(C281,'Master Component List'!A:C,3,FALSE),"Other")</f>
        <v>Resistor</v>
      </c>
      <c r="C281" s="9" t="s">
        <v>427</v>
      </c>
      <c r="D281" s="9" t="str">
        <f>IFERROR(VLOOKUP(C281,'Master Component List'!A:B,2,FALSE),"")</f>
        <v>Res Thin Film 0603 76.8K Ohm 0.1% 0.1W(1/10W) ±25ppm/C Pad SMD Automotive T/R</v>
      </c>
      <c r="E281" s="11">
        <v>1</v>
      </c>
      <c r="F281" s="9" t="s">
        <v>724</v>
      </c>
      <c r="G281" s="9" t="s">
        <v>429</v>
      </c>
    </row>
    <row r="282" spans="1:7" x14ac:dyDescent="0.25">
      <c r="A282" s="2" t="s">
        <v>12</v>
      </c>
      <c r="B282" s="27" t="str">
        <f>IFERROR(VLOOKUP(C282,'Master Component List'!A:C,3,FALSE),"Other")</f>
        <v>Resistor</v>
      </c>
      <c r="C282" s="3" t="s">
        <v>430</v>
      </c>
      <c r="D282" s="3" t="str">
        <f>IFERROR(VLOOKUP(C282,'Master Component List'!A:B,2,FALSE),"")</f>
        <v>7k5 1% 0603 250mW</v>
      </c>
      <c r="E282" s="6">
        <v>2</v>
      </c>
      <c r="F282" s="3" t="s">
        <v>537</v>
      </c>
      <c r="G282" s="3" t="s">
        <v>432</v>
      </c>
    </row>
    <row r="283" spans="1:7" x14ac:dyDescent="0.25">
      <c r="A283" s="8" t="s">
        <v>13</v>
      </c>
      <c r="B283" s="21" t="str">
        <f>IFERROR(VLOOKUP(C283,'Master Component List'!A:C,3,FALSE),"Other")</f>
        <v>Capacitor</v>
      </c>
      <c r="C283" s="9" t="s">
        <v>22</v>
      </c>
      <c r="D283" s="9" t="str">
        <f>IFERROR(VLOOKUP(C283,'Master Component List'!A:B,2,FALSE),"")</f>
        <v>100nF 25V X7R 0603</v>
      </c>
      <c r="E283" s="11">
        <v>3</v>
      </c>
      <c r="F283" s="9" t="s">
        <v>725</v>
      </c>
      <c r="G283" s="9" t="s">
        <v>23</v>
      </c>
    </row>
    <row r="284" spans="1:7" x14ac:dyDescent="0.25">
      <c r="A284" s="2" t="s">
        <v>13</v>
      </c>
      <c r="B284" s="21" t="str">
        <f>IFERROR(VLOOKUP(C284,'Master Component List'!A:C,3,FALSE),"Other")</f>
        <v>Capacitor</v>
      </c>
      <c r="C284" s="3" t="s">
        <v>37</v>
      </c>
      <c r="D284" s="3" t="str">
        <f>IFERROR(VLOOKUP(C284,'Master Component List'!A:B,2,FALSE),"")</f>
        <v>10uF 50V X7R 1206</v>
      </c>
      <c r="E284" s="6">
        <v>4</v>
      </c>
      <c r="F284" s="3" t="s">
        <v>726</v>
      </c>
      <c r="G284" s="3"/>
    </row>
    <row r="285" spans="1:7" x14ac:dyDescent="0.25">
      <c r="A285" s="8" t="s">
        <v>13</v>
      </c>
      <c r="B285" s="21" t="str">
        <f>IFERROR(VLOOKUP(C285,'Master Component List'!A:C,3,FALSE),"Other")</f>
        <v>Capacitor</v>
      </c>
      <c r="C285" s="9" t="s">
        <v>41</v>
      </c>
      <c r="D285" s="9" t="str">
        <f>IFERROR(VLOOKUP(C285,'Master Component List'!A:B,2,FALSE),"")</f>
        <v>1uF 25V X7R 0603 10%</v>
      </c>
      <c r="E285" s="11">
        <v>1</v>
      </c>
      <c r="F285" s="9" t="s">
        <v>567</v>
      </c>
      <c r="G285" s="9" t="s">
        <v>43</v>
      </c>
    </row>
    <row r="286" spans="1:7" x14ac:dyDescent="0.25">
      <c r="A286" s="2" t="s">
        <v>13</v>
      </c>
      <c r="B286" s="21" t="str">
        <f>IFERROR(VLOOKUP(C286,'Master Component List'!A:C,3,FALSE),"Other")</f>
        <v>Capacitor</v>
      </c>
      <c r="C286" s="3" t="s">
        <v>59</v>
      </c>
      <c r="D286" s="3" t="str">
        <f>IFERROR(VLOOKUP(C286,'Master Component List'!A:B,2,FALSE),"")</f>
        <v>2u2 100V X7R 1210</v>
      </c>
      <c r="E286" s="6">
        <v>4</v>
      </c>
      <c r="F286" s="3" t="s">
        <v>727</v>
      </c>
      <c r="G286" s="3"/>
    </row>
    <row r="287" spans="1:7" x14ac:dyDescent="0.25">
      <c r="A287" s="8" t="s">
        <v>13</v>
      </c>
      <c r="B287" s="22" t="str">
        <f>IFERROR(VLOOKUP(C287,'Master Component List'!A:C,3,FALSE),"Other")</f>
        <v>Connector</v>
      </c>
      <c r="C287" s="9" t="s">
        <v>99</v>
      </c>
      <c r="D287" s="9" t="str">
        <f>IFERROR(VLOOKUP(C287,'Master Component List'!A:B,2,FALSE),"")</f>
        <v>WR-MPC3 Single Row Right Angled Header with Plastic Pegs, THT, pitch 3mm, 2pins</v>
      </c>
      <c r="E287" s="11">
        <v>2</v>
      </c>
      <c r="F287" s="9" t="s">
        <v>728</v>
      </c>
      <c r="G287" s="9" t="s">
        <v>101</v>
      </c>
    </row>
    <row r="288" spans="1:7" x14ac:dyDescent="0.25">
      <c r="A288" s="2" t="s">
        <v>13</v>
      </c>
      <c r="B288" s="22" t="str">
        <f>IFERROR(VLOOKUP(C288,'Master Component List'!A:C,3,FALSE),"Other")</f>
        <v>Connector</v>
      </c>
      <c r="C288" s="3" t="s">
        <v>105</v>
      </c>
      <c r="D288" s="3" t="str">
        <f>IFERROR(VLOOKUP(C288,'Master Component List'!A:B,2,FALSE),"")</f>
        <v>WR-MPC3 Dual Row Right Angled Header with Plastic Pegs, THT, pitch 3mm, 6pins</v>
      </c>
      <c r="E288" s="6">
        <v>1</v>
      </c>
      <c r="F288" s="3" t="s">
        <v>696</v>
      </c>
      <c r="G288" s="3" t="s">
        <v>107</v>
      </c>
    </row>
    <row r="289" spans="1:7" x14ac:dyDescent="0.25">
      <c r="A289" s="8" t="s">
        <v>13</v>
      </c>
      <c r="B289" s="22" t="str">
        <f>IFERROR(VLOOKUP(C289,'Master Component List'!A:C,3,FALSE),"Other")</f>
        <v>Other</v>
      </c>
      <c r="C289" s="9" t="s">
        <v>729</v>
      </c>
      <c r="D289" s="9" t="str">
        <f>IFERROR(VLOOKUP(C289,'Master Component List'!A:B,2,FALSE),"")</f>
        <v/>
      </c>
      <c r="E289" s="11">
        <v>2</v>
      </c>
      <c r="F289" s="9" t="s">
        <v>730</v>
      </c>
      <c r="G289" s="9"/>
    </row>
    <row r="290" spans="1:7" x14ac:dyDescent="0.25">
      <c r="A290" s="2" t="s">
        <v>13</v>
      </c>
      <c r="B290" s="23" t="str">
        <f>IFERROR(VLOOKUP(C290,'Master Component List'!A:C,3,FALSE),"Other")</f>
        <v>Other</v>
      </c>
      <c r="C290" s="3" t="s">
        <v>731</v>
      </c>
      <c r="D290" s="3" t="str">
        <f>IFERROR(VLOOKUP(C290,'Master Component List'!A:B,2,FALSE),"")</f>
        <v/>
      </c>
      <c r="E290" s="6">
        <v>1</v>
      </c>
      <c r="F290" s="3" t="s">
        <v>512</v>
      </c>
      <c r="G290" s="3"/>
    </row>
    <row r="291" spans="1:7" x14ac:dyDescent="0.25">
      <c r="A291" s="8" t="s">
        <v>13</v>
      </c>
      <c r="B291" s="23" t="str">
        <f>IFERROR(VLOOKUP(C291,'Master Component List'!A:C,3,FALSE),"Other")</f>
        <v>Diode</v>
      </c>
      <c r="C291" s="9" t="s">
        <v>141</v>
      </c>
      <c r="D291" s="9" t="str">
        <f>IFERROR(VLOOKUP(C291,'Master Component List'!A:B,2,FALSE),"")</f>
        <v>Rectifier Diode, Schottky, 1 Phase, 1 Element, 4.2A, 60V V(RRM), Silicon</v>
      </c>
      <c r="E291" s="11">
        <v>2</v>
      </c>
      <c r="F291" s="9" t="s">
        <v>732</v>
      </c>
      <c r="G291" s="9" t="s">
        <v>141</v>
      </c>
    </row>
    <row r="292" spans="1:7" x14ac:dyDescent="0.25">
      <c r="A292" s="2" t="s">
        <v>13</v>
      </c>
      <c r="B292" s="23" t="str">
        <f>IFERROR(VLOOKUP(C292,'Master Component List'!A:C,3,FALSE),"Other")</f>
        <v>Diode</v>
      </c>
      <c r="C292" s="3" t="s">
        <v>145</v>
      </c>
      <c r="D292" s="3" t="str">
        <f>IFERROR(VLOOKUP(C292,'Master Component List'!A:B,2,FALSE),"")</f>
        <v>Zener Diode 12V 1W ±5% Surface Mount SMA</v>
      </c>
      <c r="E292" s="6">
        <v>1</v>
      </c>
      <c r="F292" s="3" t="s">
        <v>509</v>
      </c>
      <c r="G292" s="3" t="s">
        <v>145</v>
      </c>
    </row>
    <row r="293" spans="1:7" x14ac:dyDescent="0.25">
      <c r="A293" s="8" t="s">
        <v>13</v>
      </c>
      <c r="B293" s="24" t="str">
        <f>IFERROR(VLOOKUP(C293,'Master Component List'!A:C,3,FALSE),"Other")</f>
        <v>IC</v>
      </c>
      <c r="C293" s="9" t="s">
        <v>158</v>
      </c>
      <c r="D293" s="9" t="str">
        <f>IFERROR(VLOOKUP(C293,'Master Component List'!A:B,2,FALSE),"")</f>
        <v>LED Driver IC 1 Output DC DC Regulator Step-Down (Buck) Analog, PWM Dimming 1.5A 8-MSOP-EP</v>
      </c>
      <c r="E293" s="11">
        <v>2</v>
      </c>
      <c r="F293" s="9" t="s">
        <v>733</v>
      </c>
      <c r="G293" s="9"/>
    </row>
    <row r="294" spans="1:7" x14ac:dyDescent="0.25">
      <c r="A294" s="2" t="s">
        <v>13</v>
      </c>
      <c r="B294" s="24" t="str">
        <f>IFERROR(VLOOKUP(C294,'Master Component List'!A:C,3,FALSE),"Other")</f>
        <v>Other</v>
      </c>
      <c r="C294" s="3" t="s">
        <v>734</v>
      </c>
      <c r="D294" s="3" t="str">
        <f>IFERROR(VLOOKUP(C294,'Master Component List'!A:B,2,FALSE),"")</f>
        <v/>
      </c>
      <c r="E294" s="6">
        <v>1</v>
      </c>
      <c r="F294" s="3" t="s">
        <v>521</v>
      </c>
      <c r="G294" s="3"/>
    </row>
    <row r="295" spans="1:7" x14ac:dyDescent="0.25">
      <c r="A295" s="8" t="s">
        <v>13</v>
      </c>
      <c r="B295" s="24" t="str">
        <f>IFERROR(VLOOKUP(C295,'Master Component List'!A:C,3,FALSE),"Other")</f>
        <v>IC</v>
      </c>
      <c r="C295" s="9" t="s">
        <v>179</v>
      </c>
      <c r="D295" s="9" t="str">
        <f>IFERROR(VLOOKUP(C295,'Master Component List'!A:B,2,FALSE),"")</f>
        <v>555 Type, Timer/Oscillator (Single) IC 100kHz 8-SOIC</v>
      </c>
      <c r="E295" s="11">
        <v>1</v>
      </c>
      <c r="F295" s="9" t="s">
        <v>524</v>
      </c>
      <c r="G295" s="9" t="s">
        <v>181</v>
      </c>
    </row>
    <row r="296" spans="1:7" x14ac:dyDescent="0.25">
      <c r="A296" s="2" t="s">
        <v>13</v>
      </c>
      <c r="B296" s="25" t="str">
        <f>IFERROR(VLOOKUP(C296,'Master Component List'!A:C,3,FALSE),"Other")</f>
        <v>Inductor</v>
      </c>
      <c r="C296" s="3" t="s">
        <v>220</v>
      </c>
      <c r="D296" s="3" t="str">
        <f>IFERROR(VLOOKUP(C296,'Master Component List'!A:B,2,FALSE),"")</f>
        <v>Inductor Power Semi-Shielded Wirewound 47uH 20% 100KHz 13Q-Factor Ferrite 1.1A 257mOhm DCR T/R</v>
      </c>
      <c r="E296" s="6">
        <v>2</v>
      </c>
      <c r="F296" s="3" t="s">
        <v>735</v>
      </c>
      <c r="G296" s="3" t="s">
        <v>220</v>
      </c>
    </row>
    <row r="297" spans="1:7" x14ac:dyDescent="0.25">
      <c r="A297" s="8" t="s">
        <v>13</v>
      </c>
      <c r="B297" s="26" t="str">
        <f>IFERROR(VLOOKUP(C297,'Master Component List'!A:C,3,FALSE),"Other")</f>
        <v>LED</v>
      </c>
      <c r="C297" s="9" t="s">
        <v>234</v>
      </c>
      <c r="D297" s="9" t="str">
        <f>IFERROR(VLOOKUP(C297,'Master Component List'!A:B,2,FALSE),"")</f>
        <v>LED Green 0603</v>
      </c>
      <c r="E297" s="11">
        <v>1</v>
      </c>
      <c r="F297" s="9" t="s">
        <v>736</v>
      </c>
      <c r="G297" s="9" t="s">
        <v>235</v>
      </c>
    </row>
    <row r="298" spans="1:7" x14ac:dyDescent="0.25">
      <c r="A298" s="2" t="s">
        <v>13</v>
      </c>
      <c r="B298" s="26" t="str">
        <f>IFERROR(VLOOKUP(C298,'Master Component List'!A:C,3,FALSE),"Other")</f>
        <v>LED</v>
      </c>
      <c r="C298" s="3" t="s">
        <v>236</v>
      </c>
      <c r="D298" s="3" t="str">
        <f>IFERROR(VLOOKUP(C298,'Master Component List'!A:B,2,FALSE),"")</f>
        <v>LED Red 0603</v>
      </c>
      <c r="E298" s="6">
        <v>1</v>
      </c>
      <c r="F298" s="3" t="s">
        <v>737</v>
      </c>
      <c r="G298" s="3" t="s">
        <v>237</v>
      </c>
    </row>
    <row r="299" spans="1:7" x14ac:dyDescent="0.25">
      <c r="A299" s="8" t="s">
        <v>13</v>
      </c>
      <c r="B299" s="11" t="str">
        <f>IFERROR(VLOOKUP(C299,'Master Component List'!A:C,3,FALSE),"Other")</f>
        <v>Other</v>
      </c>
      <c r="C299" s="9" t="s">
        <v>738</v>
      </c>
      <c r="D299" s="9" t="str">
        <f>IFERROR(VLOOKUP(C299,'Master Component List'!A:B,2,FALSE),"")</f>
        <v/>
      </c>
      <c r="E299" s="11">
        <v>1</v>
      </c>
      <c r="F299" s="9" t="s">
        <v>739</v>
      </c>
      <c r="G299" s="9"/>
    </row>
    <row r="300" spans="1:7" x14ac:dyDescent="0.25">
      <c r="A300" s="2" t="s">
        <v>13</v>
      </c>
      <c r="B300" s="27" t="str">
        <f>IFERROR(VLOOKUP(C300,'Master Component List'!A:C,3,FALSE),"Other")</f>
        <v>Resistor</v>
      </c>
      <c r="C300" s="3" t="s">
        <v>283</v>
      </c>
      <c r="D300" s="3" t="str">
        <f>IFERROR(VLOOKUP(C300,'Master Component List'!A:B,2,FALSE),"")</f>
        <v>0R3 300mOhm 300mΩ 1% 1206 500mW</v>
      </c>
      <c r="E300" s="6">
        <v>2</v>
      </c>
      <c r="F300" s="3" t="s">
        <v>740</v>
      </c>
      <c r="G300" s="3"/>
    </row>
    <row r="301" spans="1:7" x14ac:dyDescent="0.25">
      <c r="A301" s="8" t="s">
        <v>13</v>
      </c>
      <c r="B301" s="27" t="str">
        <f>IFERROR(VLOOKUP(C301,'Master Component List'!A:C,3,FALSE),"Other")</f>
        <v>Resistor</v>
      </c>
      <c r="C301" s="9" t="s">
        <v>286</v>
      </c>
      <c r="D301" s="9" t="str">
        <f>IFERROR(VLOOKUP(C301,'Master Component List'!A:B,2,FALSE),"")</f>
        <v>100R 1% 0603</v>
      </c>
      <c r="E301" s="11">
        <v>2</v>
      </c>
      <c r="F301" s="9" t="s">
        <v>741</v>
      </c>
      <c r="G301" s="9" t="s">
        <v>287</v>
      </c>
    </row>
    <row r="302" spans="1:7" x14ac:dyDescent="0.25">
      <c r="A302" s="2" t="s">
        <v>13</v>
      </c>
      <c r="B302" s="27" t="str">
        <f>IFERROR(VLOOKUP(C302,'Master Component List'!A:C,3,FALSE),"Other")</f>
        <v>Resistor</v>
      </c>
      <c r="C302" s="3" t="s">
        <v>295</v>
      </c>
      <c r="D302" s="3" t="str">
        <f>IFERROR(VLOOKUP(C302,'Master Component List'!A:B,2,FALSE),"")</f>
        <v>10k 0.1% 0603 250mW</v>
      </c>
      <c r="E302" s="6">
        <v>1</v>
      </c>
      <c r="F302" s="3" t="s">
        <v>742</v>
      </c>
      <c r="G302" s="3" t="s">
        <v>297</v>
      </c>
    </row>
    <row r="303" spans="1:7" x14ac:dyDescent="0.25">
      <c r="A303" s="8" t="s">
        <v>13</v>
      </c>
      <c r="B303" s="27" t="str">
        <f>IFERROR(VLOOKUP(C303,'Master Component List'!A:C,3,FALSE),"Other")</f>
        <v>Resistor</v>
      </c>
      <c r="C303" s="9" t="s">
        <v>301</v>
      </c>
      <c r="D303" s="9" t="str">
        <f>IFERROR(VLOOKUP(C303,'Master Component List'!A:B,2,FALSE),"")</f>
        <v>10k 1% 0603 100mW</v>
      </c>
      <c r="E303" s="11">
        <v>6</v>
      </c>
      <c r="F303" s="9" t="s">
        <v>743</v>
      </c>
      <c r="G303" s="9" t="s">
        <v>305</v>
      </c>
    </row>
    <row r="304" spans="1:7" x14ac:dyDescent="0.25">
      <c r="A304" s="2" t="s">
        <v>13</v>
      </c>
      <c r="B304" s="27" t="str">
        <f>IFERROR(VLOOKUP(C304,'Master Component List'!A:C,3,FALSE),"Other")</f>
        <v>Resistor</v>
      </c>
      <c r="C304" s="3" t="s">
        <v>320</v>
      </c>
      <c r="D304" s="3" t="str">
        <f>IFERROR(VLOOKUP(C304,'Master Component List'!A:B,2,FALSE),"")</f>
        <v>152k 0.1% 0603 250mW</v>
      </c>
      <c r="E304" s="6">
        <v>1</v>
      </c>
      <c r="F304" s="3" t="s">
        <v>718</v>
      </c>
      <c r="G304" s="3" t="s">
        <v>322</v>
      </c>
    </row>
    <row r="305" spans="1:7" x14ac:dyDescent="0.25">
      <c r="A305" s="8" t="s">
        <v>13</v>
      </c>
      <c r="B305" s="27" t="str">
        <f>IFERROR(VLOOKUP(C305,'Master Component List'!A:C,3,FALSE),"Other")</f>
        <v>Resistor</v>
      </c>
      <c r="C305" s="9" t="s">
        <v>325</v>
      </c>
      <c r="D305" s="9" t="str">
        <f>IFERROR(VLOOKUP(C305,'Master Component List'!A:B,2,FALSE),"")</f>
        <v>1M 0.1% 1206</v>
      </c>
      <c r="E305" s="11">
        <v>4</v>
      </c>
      <c r="F305" s="9" t="s">
        <v>744</v>
      </c>
      <c r="G305" s="9" t="s">
        <v>326</v>
      </c>
    </row>
    <row r="306" spans="1:7" x14ac:dyDescent="0.25">
      <c r="A306" s="2" t="s">
        <v>13</v>
      </c>
      <c r="B306" s="27" t="str">
        <f>IFERROR(VLOOKUP(C306,'Master Component List'!A:C,3,FALSE),"Other")</f>
        <v>Resistor</v>
      </c>
      <c r="C306" s="3" t="s">
        <v>327</v>
      </c>
      <c r="D306" s="3" t="str">
        <f>IFERROR(VLOOKUP(C306,'Master Component List'!A:B,2,FALSE),"")</f>
        <v>1k 1% 0603 250mW</v>
      </c>
      <c r="E306" s="6">
        <v>4</v>
      </c>
      <c r="F306" s="3" t="s">
        <v>745</v>
      </c>
      <c r="G306" s="3" t="s">
        <v>330</v>
      </c>
    </row>
    <row r="307" spans="1:7" x14ac:dyDescent="0.25">
      <c r="A307" s="8" t="s">
        <v>13</v>
      </c>
      <c r="B307" s="27" t="str">
        <f>IFERROR(VLOOKUP(C307,'Master Component List'!A:C,3,FALSE),"Other")</f>
        <v>Resistor</v>
      </c>
      <c r="C307" s="9" t="s">
        <v>334</v>
      </c>
      <c r="D307" s="9" t="str">
        <f>IFERROR(VLOOKUP(C307,'Master Component List'!A:B,2,FALSE),"")</f>
        <v>1k2 1% 0603 250mW</v>
      </c>
      <c r="E307" s="11">
        <v>1</v>
      </c>
      <c r="F307" s="9" t="s">
        <v>746</v>
      </c>
      <c r="G307" s="9" t="s">
        <v>336</v>
      </c>
    </row>
    <row r="308" spans="1:7" x14ac:dyDescent="0.25">
      <c r="A308" s="2" t="s">
        <v>13</v>
      </c>
      <c r="B308" s="27" t="str">
        <f>IFERROR(VLOOKUP(C308,'Master Component List'!A:C,3,FALSE),"Other")</f>
        <v>Resistor</v>
      </c>
      <c r="C308" s="3" t="s">
        <v>351</v>
      </c>
      <c r="D308" s="3" t="str">
        <f>IFERROR(VLOOKUP(C308,'Master Component List'!A:B,2,FALSE),"")</f>
        <v>220k 1% 0603</v>
      </c>
      <c r="E308" s="6">
        <v>1</v>
      </c>
      <c r="F308" s="3" t="s">
        <v>747</v>
      </c>
      <c r="G308" s="3" t="s">
        <v>352</v>
      </c>
    </row>
    <row r="309" spans="1:7" x14ac:dyDescent="0.25">
      <c r="A309" s="8" t="s">
        <v>13</v>
      </c>
      <c r="B309" s="27" t="str">
        <f>IFERROR(VLOOKUP(C309,'Master Component List'!A:C,3,FALSE),"Other")</f>
        <v>Resistor</v>
      </c>
      <c r="C309" s="9" t="s">
        <v>353</v>
      </c>
      <c r="D309" s="9" t="str">
        <f>IFERROR(VLOOKUP(C309,'Master Component List'!A:B,2,FALSE),"")</f>
        <v>22k 1% 0603</v>
      </c>
      <c r="E309" s="11">
        <v>2</v>
      </c>
      <c r="F309" s="9" t="s">
        <v>748</v>
      </c>
      <c r="G309" s="9" t="s">
        <v>354</v>
      </c>
    </row>
    <row r="310" spans="1:7" x14ac:dyDescent="0.25">
      <c r="A310" s="2" t="s">
        <v>13</v>
      </c>
      <c r="B310" s="27" t="str">
        <f>IFERROR(VLOOKUP(C310,'Master Component List'!A:C,3,FALSE),"Other")</f>
        <v>Resistor</v>
      </c>
      <c r="C310" s="3" t="s">
        <v>357</v>
      </c>
      <c r="D310" s="3" t="str">
        <f>IFERROR(VLOOKUP(C310,'Master Component List'!A:B,2,FALSE),"")</f>
        <v>232k 0.1% 0603 250mW</v>
      </c>
      <c r="E310" s="6">
        <v>1</v>
      </c>
      <c r="F310" s="3" t="s">
        <v>749</v>
      </c>
      <c r="G310" s="3" t="s">
        <v>359</v>
      </c>
    </row>
    <row r="311" spans="1:7" x14ac:dyDescent="0.25">
      <c r="A311" s="8" t="s">
        <v>13</v>
      </c>
      <c r="B311" s="27" t="str">
        <f>IFERROR(VLOOKUP(C311,'Master Component List'!A:C,3,FALSE),"Other")</f>
        <v>Resistor</v>
      </c>
      <c r="C311" s="9" t="s">
        <v>363</v>
      </c>
      <c r="D311" s="9" t="str">
        <f>IFERROR(VLOOKUP(C311,'Master Component List'!A:B,2,FALSE),"")</f>
        <v>24k9 0.1% 1206 1/4W</v>
      </c>
      <c r="E311" s="11">
        <v>2</v>
      </c>
      <c r="F311" s="9" t="s">
        <v>750</v>
      </c>
      <c r="G311" s="9" t="s">
        <v>365</v>
      </c>
    </row>
    <row r="312" spans="1:7" x14ac:dyDescent="0.25">
      <c r="A312" s="2" t="s">
        <v>13</v>
      </c>
      <c r="B312" s="27" t="str">
        <f>IFERROR(VLOOKUP(C312,'Master Component List'!A:C,3,FALSE),"Other")</f>
        <v>Other</v>
      </c>
      <c r="C312" s="3" t="s">
        <v>751</v>
      </c>
      <c r="D312" s="3" t="str">
        <f>IFERROR(VLOOKUP(C312,'Master Component List'!A:B,2,FALSE),"")</f>
        <v/>
      </c>
      <c r="E312" s="6">
        <v>2</v>
      </c>
      <c r="F312" s="3" t="s">
        <v>752</v>
      </c>
      <c r="G312" s="3"/>
    </row>
    <row r="313" spans="1:7" x14ac:dyDescent="0.25">
      <c r="A313" s="8" t="s">
        <v>13</v>
      </c>
      <c r="B313" s="27" t="str">
        <f>IFERROR(VLOOKUP(C313,'Master Component List'!A:C,3,FALSE),"Other")</f>
        <v>Resistor</v>
      </c>
      <c r="C313" s="9" t="s">
        <v>405</v>
      </c>
      <c r="D313" s="9" t="str">
        <f>IFERROR(VLOOKUP(C313,'Master Component List'!A:B,2,FALSE),"")</f>
        <v>4k7 1% 0603</v>
      </c>
      <c r="E313" s="11">
        <v>2</v>
      </c>
      <c r="F313" s="9" t="s">
        <v>753</v>
      </c>
      <c r="G313" s="9" t="s">
        <v>406</v>
      </c>
    </row>
    <row r="314" spans="1:7" x14ac:dyDescent="0.25">
      <c r="A314" s="2" t="s">
        <v>13</v>
      </c>
      <c r="B314" s="28" t="str">
        <f>IFERROR(VLOOKUP(C314,'Master Component List'!A:C,3,FALSE),"Other")</f>
        <v>Transistor</v>
      </c>
      <c r="C314" s="3" t="s">
        <v>445</v>
      </c>
      <c r="D314" s="3" t="str">
        <f>IFERROR(VLOOKUP(C314,'Master Component List'!A:B,2,FALSE),"")</f>
        <v>WL-OCPT Optocoupler Phototransistor, DIP4_SL-Type, SMT, DC, 35V, 60mA</v>
      </c>
      <c r="E314" s="6">
        <v>1</v>
      </c>
      <c r="F314" s="3" t="s">
        <v>559</v>
      </c>
      <c r="G314" s="3" t="s">
        <v>445</v>
      </c>
    </row>
    <row r="315" spans="1:7" x14ac:dyDescent="0.25">
      <c r="A315" s="8" t="s">
        <v>13</v>
      </c>
      <c r="B315" s="28" t="str">
        <f>IFERROR(VLOOKUP(C315,'Master Component List'!A:C,3,FALSE),"Other")</f>
        <v>Transistor</v>
      </c>
      <c r="C315" s="9" t="s">
        <v>448</v>
      </c>
      <c r="D315" s="9" t="str">
        <f>IFERROR(VLOOKUP(C315,'Master Component List'!A:B,2,FALSE),"")</f>
        <v>N-Channel 60V 300mA (Ta) 350mW (Ta) Surface Mount SOT-23 (TO-236AB)</v>
      </c>
      <c r="E315" s="11">
        <v>2</v>
      </c>
      <c r="F315" s="9" t="s">
        <v>754</v>
      </c>
      <c r="G315" s="9" t="s">
        <v>450</v>
      </c>
    </row>
    <row r="316" spans="1:7" x14ac:dyDescent="0.25">
      <c r="A316" s="2" t="s">
        <v>13</v>
      </c>
      <c r="B316" s="28" t="str">
        <f>IFERROR(VLOOKUP(C316,'Master Component List'!A:C,3,FALSE),"Other")</f>
        <v>Transistor</v>
      </c>
      <c r="C316" s="3" t="s">
        <v>456</v>
      </c>
      <c r="D316" s="3" t="str">
        <f>IFERROR(VLOOKUP(C316,'Master Component List'!A:B,2,FALSE),"")</f>
        <v>P-Channel 60V 1.8A (Ta) 1W (Ta) Surface Mount 3-CPH</v>
      </c>
      <c r="E316" s="6">
        <v>2</v>
      </c>
      <c r="F316" s="3" t="s">
        <v>755</v>
      </c>
      <c r="G316" s="3" t="s">
        <v>458</v>
      </c>
    </row>
    <row r="317" spans="1:7" x14ac:dyDescent="0.25">
      <c r="A317" s="8" t="s">
        <v>14</v>
      </c>
      <c r="B317" s="22" t="str">
        <f>IFERROR(VLOOKUP(C317,'Master Component List'!A:C,3,FALSE),"Other")</f>
        <v>Other</v>
      </c>
      <c r="C317" s="9" t="s">
        <v>756</v>
      </c>
      <c r="D317" s="9" t="str">
        <f>IFERROR(VLOOKUP(C317,'Master Component List'!A:B,2,FALSE),"")</f>
        <v/>
      </c>
      <c r="E317" s="11"/>
      <c r="F317" s="9" t="s">
        <v>636</v>
      </c>
      <c r="G317" s="9"/>
    </row>
    <row r="318" spans="1:7" x14ac:dyDescent="0.25">
      <c r="A318" s="2" t="s">
        <v>14</v>
      </c>
      <c r="B318" s="26" t="str">
        <f>IFERROR(VLOOKUP(C318,'Master Component List'!A:C,3,FALSE),"Other")</f>
        <v>Other</v>
      </c>
      <c r="C318" s="3" t="s">
        <v>757</v>
      </c>
      <c r="D318" s="3" t="str">
        <f>IFERROR(VLOOKUP(C318,'Master Component List'!A:B,2,FALSE),"")</f>
        <v/>
      </c>
      <c r="E318" s="6"/>
      <c r="F318" s="3" t="s">
        <v>758</v>
      </c>
      <c r="G318" s="3"/>
    </row>
    <row r="319" spans="1:7" x14ac:dyDescent="0.25">
      <c r="A319" s="8" t="s">
        <v>14</v>
      </c>
      <c r="B319" s="26" t="str">
        <f>IFERROR(VLOOKUP(C319,'Master Component List'!A:C,3,FALSE),"Other")</f>
        <v>Other</v>
      </c>
      <c r="C319" s="9" t="s">
        <v>759</v>
      </c>
      <c r="D319" s="9" t="str">
        <f>IFERROR(VLOOKUP(C319,'Master Component List'!A:B,2,FALSE),"")</f>
        <v/>
      </c>
      <c r="E319" s="11"/>
      <c r="F319" s="9" t="s">
        <v>664</v>
      </c>
      <c r="G319" s="9"/>
    </row>
    <row r="320" spans="1:7" x14ac:dyDescent="0.25">
      <c r="A320" s="2" t="s">
        <v>15</v>
      </c>
      <c r="B320" s="21" t="str">
        <f>IFERROR(VLOOKUP(C320,'Master Component List'!A:C,3,FALSE),"Other")</f>
        <v>Capacitor</v>
      </c>
      <c r="C320" s="3" t="s">
        <v>22</v>
      </c>
      <c r="D320" s="3" t="str">
        <f>IFERROR(VLOOKUP(C320,'Master Component List'!A:B,2,FALSE),"")</f>
        <v>100nF 25V X7R 0603</v>
      </c>
      <c r="E320" s="6">
        <v>1</v>
      </c>
      <c r="F320" s="3" t="s">
        <v>760</v>
      </c>
      <c r="G320" s="3" t="s">
        <v>23</v>
      </c>
    </row>
    <row r="321" spans="1:7" x14ac:dyDescent="0.25">
      <c r="A321" s="8" t="s">
        <v>15</v>
      </c>
      <c r="B321" s="21" t="str">
        <f>IFERROR(VLOOKUP(C321,'Master Component List'!A:C,3,FALSE),"Other")</f>
        <v>Capacitor</v>
      </c>
      <c r="C321" s="9" t="s">
        <v>24</v>
      </c>
      <c r="D321" s="9" t="str">
        <f>IFERROR(VLOOKUP(C321,'Master Component List'!A:B,2,FALSE),"")</f>
        <v>100nF 50V X7R 0603</v>
      </c>
      <c r="E321" s="11">
        <v>21</v>
      </c>
      <c r="F321" s="9" t="s">
        <v>761</v>
      </c>
      <c r="G321" s="9" t="s">
        <v>25</v>
      </c>
    </row>
    <row r="322" spans="1:7" x14ac:dyDescent="0.25">
      <c r="A322" s="2" t="s">
        <v>15</v>
      </c>
      <c r="B322" s="21" t="str">
        <f>IFERROR(VLOOKUP(C322,'Master Component List'!A:C,3,FALSE),"Other")</f>
        <v>Capacitor</v>
      </c>
      <c r="C322" s="3" t="s">
        <v>35</v>
      </c>
      <c r="D322" s="3" t="str">
        <f>IFERROR(VLOOKUP(C322,'Master Component List'!A:B,2,FALSE),"")</f>
        <v>10uF 25V X7R 0805</v>
      </c>
      <c r="E322" s="6">
        <v>1</v>
      </c>
      <c r="F322" s="3" t="s">
        <v>565</v>
      </c>
      <c r="G322" s="3" t="s">
        <v>36</v>
      </c>
    </row>
    <row r="323" spans="1:7" x14ac:dyDescent="0.25">
      <c r="A323" s="8" t="s">
        <v>15</v>
      </c>
      <c r="B323" s="21" t="str">
        <f>IFERROR(VLOOKUP(C323,'Master Component List'!A:C,3,FALSE),"Other")</f>
        <v>Capacitor</v>
      </c>
      <c r="C323" s="9" t="s">
        <v>41</v>
      </c>
      <c r="D323" s="9" t="str">
        <f>IFERROR(VLOOKUP(C323,'Master Component List'!A:B,2,FALSE),"")</f>
        <v>1uF 25V X7R 0603 10%</v>
      </c>
      <c r="E323" s="11">
        <v>2</v>
      </c>
      <c r="F323" s="9" t="s">
        <v>762</v>
      </c>
      <c r="G323" s="9" t="s">
        <v>43</v>
      </c>
    </row>
    <row r="324" spans="1:7" x14ac:dyDescent="0.25">
      <c r="A324" s="2" t="s">
        <v>15</v>
      </c>
      <c r="B324" s="21" t="str">
        <f>IFERROR(VLOOKUP(C324,'Master Component List'!A:C,3,FALSE),"Other")</f>
        <v>Capacitor</v>
      </c>
      <c r="C324" s="3" t="s">
        <v>44</v>
      </c>
      <c r="D324" s="3" t="str">
        <f>IFERROR(VLOOKUP(C324,'Master Component List'!A:B,2,FALSE),"")</f>
        <v>1uF 50V X6S 0603</v>
      </c>
      <c r="E324" s="6">
        <v>3</v>
      </c>
      <c r="F324" s="3" t="s">
        <v>564</v>
      </c>
      <c r="G324" s="3" t="s">
        <v>45</v>
      </c>
    </row>
    <row r="325" spans="1:7" x14ac:dyDescent="0.25">
      <c r="A325" s="8" t="s">
        <v>15</v>
      </c>
      <c r="B325" s="21" t="str">
        <f>IFERROR(VLOOKUP(C325,'Master Component List'!A:C,3,FALSE),"Other")</f>
        <v>Capacitor</v>
      </c>
      <c r="C325" s="9" t="s">
        <v>63</v>
      </c>
      <c r="D325" s="9" t="str">
        <f>IFERROR(VLOOKUP(C325,'Master Component List'!A:B,2,FALSE),"")</f>
        <v>Aluminum Electrolytic Capacitor, Polarized, Aluminum (wet), 35V, 20% +Tol, 20% -Tol, 390uF, Through Hole Mount</v>
      </c>
      <c r="E325" s="11">
        <v>1</v>
      </c>
      <c r="F325" s="9" t="s">
        <v>567</v>
      </c>
      <c r="G325" s="9" t="s">
        <v>63</v>
      </c>
    </row>
    <row r="326" spans="1:7" x14ac:dyDescent="0.25">
      <c r="A326" s="2" t="s">
        <v>15</v>
      </c>
      <c r="B326" s="21" t="str">
        <f>IFERROR(VLOOKUP(C326,'Master Component List'!A:C,3,FALSE),"Other")</f>
        <v>Capacitor</v>
      </c>
      <c r="C326" s="3" t="s">
        <v>65</v>
      </c>
      <c r="D326" s="3" t="str">
        <f>IFERROR(VLOOKUP(C326,'Master Component List'!A:B,2,FALSE),"")</f>
        <v>Capacitor, Ceramic, SMD, 470nF, 50V, 5%, X5R, 0603</v>
      </c>
      <c r="E326" s="6">
        <v>1</v>
      </c>
      <c r="F326" s="3" t="s">
        <v>668</v>
      </c>
      <c r="G326" s="3" t="s">
        <v>67</v>
      </c>
    </row>
    <row r="327" spans="1:7" x14ac:dyDescent="0.25">
      <c r="A327" s="8" t="s">
        <v>15</v>
      </c>
      <c r="B327" s="21" t="str">
        <f>IFERROR(VLOOKUP(C327,'Master Component List'!A:C,3,FALSE),"Other")</f>
        <v>Capacitor</v>
      </c>
      <c r="C327" s="9" t="s">
        <v>75</v>
      </c>
      <c r="D327" s="9" t="str">
        <f>IFERROR(VLOOKUP(C327,'Master Component List'!A:B,2,FALSE),"")</f>
        <v>4u7 25V X5R 0603</v>
      </c>
      <c r="E327" s="11">
        <v>1</v>
      </c>
      <c r="F327" s="9" t="s">
        <v>763</v>
      </c>
      <c r="G327" s="9" t="s">
        <v>76</v>
      </c>
    </row>
    <row r="328" spans="1:7" x14ac:dyDescent="0.25">
      <c r="A328" s="2" t="s">
        <v>15</v>
      </c>
      <c r="B328" s="21" t="str">
        <f>IFERROR(VLOOKUP(C328,'Master Component List'!A:C,3,FALSE),"Other")</f>
        <v>Capacitor</v>
      </c>
      <c r="C328" s="3" t="s">
        <v>80</v>
      </c>
      <c r="D328" s="3" t="str">
        <f>IFERROR(VLOOKUP(C328,'Master Component List'!A:B,2,FALSE),"")</f>
        <v>Capacitor, Ceramic, SMD, 4u7, 50V, 5%, X7R, 0603</v>
      </c>
      <c r="E328" s="6">
        <v>4</v>
      </c>
      <c r="F328" s="3" t="s">
        <v>764</v>
      </c>
      <c r="G328" s="3" t="s">
        <v>79</v>
      </c>
    </row>
    <row r="329" spans="1:7" x14ac:dyDescent="0.25">
      <c r="A329" s="8" t="s">
        <v>15</v>
      </c>
      <c r="B329" s="22" t="str">
        <f>IFERROR(VLOOKUP(C329,'Master Component List'!A:C,3,FALSE),"Other")</f>
        <v>Connector</v>
      </c>
      <c r="C329" s="9" t="s">
        <v>97</v>
      </c>
      <c r="D329" s="9" t="str">
        <f>IFERROR(VLOOKUP(C329,'Master Component List'!A:B,2,FALSE),"")</f>
        <v>CONN HEADER VERT 14POS 1.27MM</v>
      </c>
      <c r="E329" s="11">
        <v>1</v>
      </c>
      <c r="F329" s="9" t="s">
        <v>476</v>
      </c>
      <c r="G329" s="9" t="s">
        <v>97</v>
      </c>
    </row>
    <row r="330" spans="1:7" x14ac:dyDescent="0.25">
      <c r="A330" s="2" t="s">
        <v>15</v>
      </c>
      <c r="B330" s="23" t="str">
        <f>IFERROR(VLOOKUP(C330,'Master Component List'!A:C,3,FALSE),"Other")</f>
        <v>Diode</v>
      </c>
      <c r="C330" s="3" t="s">
        <v>115</v>
      </c>
      <c r="D330" s="3" t="str">
        <f>IFERROR(VLOOKUP(C330,'Master Component List'!A:B,2,FALSE),"")</f>
        <v>Diode, SMD, 75V, 5%, 250mA, SOD123</v>
      </c>
      <c r="E330" s="6">
        <v>2</v>
      </c>
      <c r="F330" s="3" t="s">
        <v>638</v>
      </c>
      <c r="G330" s="3" t="s">
        <v>115</v>
      </c>
    </row>
    <row r="331" spans="1:7" x14ac:dyDescent="0.25">
      <c r="A331" s="8" t="s">
        <v>15</v>
      </c>
      <c r="B331" s="23" t="str">
        <f>IFERROR(VLOOKUP(C331,'Master Component List'!A:C,3,FALSE),"Other")</f>
        <v>Diode</v>
      </c>
      <c r="C331" s="9" t="s">
        <v>121</v>
      </c>
      <c r="D331" s="9" t="str">
        <f>IFERROR(VLOOKUP(C331,'Master Component List'!A:B,2,FALSE),"")</f>
        <v>33V Zenner 1W SMA</v>
      </c>
      <c r="E331" s="11">
        <v>1</v>
      </c>
      <c r="F331" s="9" t="s">
        <v>673</v>
      </c>
      <c r="G331" s="9" t="s">
        <v>122</v>
      </c>
    </row>
    <row r="332" spans="1:7" x14ac:dyDescent="0.25">
      <c r="A332" s="2" t="s">
        <v>15</v>
      </c>
      <c r="B332" s="23" t="str">
        <f>IFERROR(VLOOKUP(C332,'Master Component List'!A:C,3,FALSE),"Other")</f>
        <v>Diode</v>
      </c>
      <c r="C332" s="3" t="s">
        <v>135</v>
      </c>
      <c r="D332" s="3" t="str">
        <f>IFERROR(VLOOKUP(C332,'Master Component List'!A:B,2,FALSE),"")</f>
        <v>Zener Diode, 3.3V V(Z), 6.06%, 0.5W, Silicon, Unidirectional</v>
      </c>
      <c r="E332" s="6">
        <v>10</v>
      </c>
      <c r="F332" s="3" t="s">
        <v>765</v>
      </c>
      <c r="G332" s="3" t="s">
        <v>135</v>
      </c>
    </row>
    <row r="333" spans="1:7" x14ac:dyDescent="0.25">
      <c r="A333" s="8" t="s">
        <v>15</v>
      </c>
      <c r="B333" s="23" t="str">
        <f>IFERROR(VLOOKUP(C333,'Master Component List'!A:C,3,FALSE),"Other")</f>
        <v>Diode</v>
      </c>
      <c r="C333" s="9" t="s">
        <v>139</v>
      </c>
      <c r="D333" s="9" t="str">
        <f>IFERROR(VLOOKUP(C333,'Master Component List'!A:B,2,FALSE),"")</f>
        <v>Trans Voltage Suppressor Diode, 350W, 24V V(RWM), Bidirectional, 2 Element, Silicon, TO-236AB</v>
      </c>
      <c r="E333" s="11">
        <v>2</v>
      </c>
      <c r="F333" s="9" t="s">
        <v>766</v>
      </c>
      <c r="G333" s="9" t="s">
        <v>139</v>
      </c>
    </row>
    <row r="334" spans="1:7" x14ac:dyDescent="0.25">
      <c r="A334" s="2" t="s">
        <v>15</v>
      </c>
      <c r="B334" s="23" t="str">
        <f>IFERROR(VLOOKUP(C334,'Master Component List'!A:C,3,FALSE),"Other")</f>
        <v>Diode</v>
      </c>
      <c r="C334" s="3" t="s">
        <v>141</v>
      </c>
      <c r="D334" s="3" t="str">
        <f>IFERROR(VLOOKUP(C334,'Master Component List'!A:B,2,FALSE),"")</f>
        <v>Rectifier Diode, Schottky, 1 Phase, 1 Element, 4.2A, 60V V(RRM), Silicon</v>
      </c>
      <c r="E334" s="6">
        <v>1</v>
      </c>
      <c r="F334" s="3" t="s">
        <v>509</v>
      </c>
      <c r="G334" s="3" t="s">
        <v>141</v>
      </c>
    </row>
    <row r="335" spans="1:7" x14ac:dyDescent="0.25">
      <c r="A335" s="8" t="s">
        <v>15</v>
      </c>
      <c r="B335" s="23" t="str">
        <f>IFERROR(VLOOKUP(C335,'Master Component List'!A:C,3,FALSE),"Other")</f>
        <v>Diode</v>
      </c>
      <c r="C335" s="9" t="s">
        <v>145</v>
      </c>
      <c r="D335" s="9" t="str">
        <f>IFERROR(VLOOKUP(C335,'Master Component List'!A:B,2,FALSE),"")</f>
        <v>Zener Diode 12V 1W ±5% Surface Mount SMA</v>
      </c>
      <c r="E335" s="11">
        <v>1</v>
      </c>
      <c r="F335" s="9" t="s">
        <v>571</v>
      </c>
      <c r="G335" s="9"/>
    </row>
    <row r="336" spans="1:7" x14ac:dyDescent="0.25">
      <c r="A336" s="2" t="s">
        <v>15</v>
      </c>
      <c r="B336" s="23" t="str">
        <f>IFERROR(VLOOKUP(C336,'Master Component List'!A:C,3,FALSE),"Other")</f>
        <v>Diode</v>
      </c>
      <c r="C336" s="3" t="s">
        <v>151</v>
      </c>
      <c r="D336" s="3" t="str">
        <f>IFERROR(VLOOKUP(C336,'Master Component List'!A:B,2,FALSE),"")</f>
        <v>Trans Voltage Suppressor Diode, 3000W, 28V V(RWM), Bidirectional, 1 Element, Silicon, DO-214AB</v>
      </c>
      <c r="E336" s="6">
        <v>1</v>
      </c>
      <c r="F336" s="3" t="s">
        <v>512</v>
      </c>
      <c r="G336" s="3" t="s">
        <v>151</v>
      </c>
    </row>
    <row r="337" spans="1:7" x14ac:dyDescent="0.25">
      <c r="A337" s="8" t="s">
        <v>15</v>
      </c>
      <c r="B337" s="24" t="str">
        <f>IFERROR(VLOOKUP(C337,'Master Component List'!A:C,3,FALSE),"Other")</f>
        <v>IC</v>
      </c>
      <c r="C337" s="9" t="s">
        <v>155</v>
      </c>
      <c r="D337" s="9" t="str">
        <f>IFERROR(VLOOKUP(C337,'Master Component List'!A:B,2,FALSE),"")</f>
        <v>Board Connector, 4 Row(s), Right Angle, Solder Terminal</v>
      </c>
      <c r="E337" s="11">
        <v>1</v>
      </c>
      <c r="F337" s="9" t="s">
        <v>707</v>
      </c>
      <c r="G337" s="9" t="s">
        <v>155</v>
      </c>
    </row>
    <row r="338" spans="1:7" x14ac:dyDescent="0.25">
      <c r="A338" s="2" t="s">
        <v>15</v>
      </c>
      <c r="B338" s="24" t="str">
        <f>IFERROR(VLOOKUP(C338,'Master Component List'!A:C,3,FALSE),"Other")</f>
        <v>IC</v>
      </c>
      <c r="C338" s="3" t="s">
        <v>164</v>
      </c>
      <c r="D338" s="3" t="str">
        <f>IFERROR(VLOOKUP(C338,'Master Component List'!A:B,2,FALSE),"")</f>
        <v>IC INVERTER SCHMITT 1CH 5SSOP</v>
      </c>
      <c r="E338" s="6">
        <v>1</v>
      </c>
      <c r="F338" s="3" t="s">
        <v>613</v>
      </c>
      <c r="G338" s="3" t="s">
        <v>166</v>
      </c>
    </row>
    <row r="339" spans="1:7" x14ac:dyDescent="0.25">
      <c r="A339" s="8" t="s">
        <v>15</v>
      </c>
      <c r="B339" s="24" t="str">
        <f>IFERROR(VLOOKUP(C339,'Master Component List'!A:C,3,FALSE),"Other")</f>
        <v>IC</v>
      </c>
      <c r="C339" s="9" t="s">
        <v>169</v>
      </c>
      <c r="D339" s="9" t="str">
        <f>IFERROR(VLOOKUP(C339,'Master Component List'!A:B,2,FALSE),"")</f>
        <v>CMOS Output Clock Oscillator, 20MHz Nom</v>
      </c>
      <c r="E339" s="11">
        <v>1</v>
      </c>
      <c r="F339" s="9" t="s">
        <v>702</v>
      </c>
      <c r="G339" s="9" t="s">
        <v>169</v>
      </c>
    </row>
    <row r="340" spans="1:7" x14ac:dyDescent="0.25">
      <c r="A340" s="2" t="s">
        <v>15</v>
      </c>
      <c r="B340" s="24" t="str">
        <f>IFERROR(VLOOKUP(C340,'Master Component List'!A:C,3,FALSE),"Other")</f>
        <v>IC</v>
      </c>
      <c r="C340" s="3" t="s">
        <v>184</v>
      </c>
      <c r="D340" s="3" t="str">
        <f>IFERROR(VLOOKUP(C340,'Master Component List'!A:B,2,FALSE),"")</f>
        <v>SIMPLE SWITCHER POWER CONVERTER Buck Switching Regulator IC Positive Adjustable 0.8V 1 Output 1A SOT-23-6</v>
      </c>
      <c r="E340" s="6">
        <v>1</v>
      </c>
      <c r="F340" s="3" t="s">
        <v>524</v>
      </c>
      <c r="G340" s="3" t="s">
        <v>184</v>
      </c>
    </row>
    <row r="341" spans="1:7" x14ac:dyDescent="0.25">
      <c r="A341" s="8" t="s">
        <v>15</v>
      </c>
      <c r="B341" s="24" t="str">
        <f>IFERROR(VLOOKUP(C341,'Master Component List'!A:C,3,FALSE),"Other")</f>
        <v>IC</v>
      </c>
      <c r="C341" s="9" t="s">
        <v>188</v>
      </c>
      <c r="D341" s="9" t="str">
        <f>IFERROR(VLOOKUP(C341,'Master Component List'!A:B,2,FALSE),"")</f>
        <v>Power Supply Support Circuit, Adjustable, 1 Channel, PDSO12</v>
      </c>
      <c r="E341" s="11">
        <v>1</v>
      </c>
      <c r="F341" s="9" t="s">
        <v>521</v>
      </c>
      <c r="G341" s="9" t="s">
        <v>188</v>
      </c>
    </row>
    <row r="342" spans="1:7" x14ac:dyDescent="0.25">
      <c r="A342" s="2" t="s">
        <v>15</v>
      </c>
      <c r="B342" s="24" t="str">
        <f>IFERROR(VLOOKUP(C342,'Master Component List'!A:C,3,FALSE),"Other")</f>
        <v>Other</v>
      </c>
      <c r="C342" s="3" t="s">
        <v>523</v>
      </c>
      <c r="D342" s="3" t="str">
        <f>IFERROR(VLOOKUP(C342,'Master Component List'!A:B,2,FALSE),"")</f>
        <v/>
      </c>
      <c r="E342" s="6">
        <v>1</v>
      </c>
      <c r="F342" s="3" t="s">
        <v>576</v>
      </c>
      <c r="G342" s="3"/>
    </row>
    <row r="343" spans="1:7" x14ac:dyDescent="0.25">
      <c r="A343" s="8" t="s">
        <v>15</v>
      </c>
      <c r="B343" s="24" t="str">
        <f>IFERROR(VLOOKUP(C343,'Master Component List'!A:C,3,FALSE),"Other")</f>
        <v>IC</v>
      </c>
      <c r="C343" s="9" t="s">
        <v>201</v>
      </c>
      <c r="D343" s="9" t="str">
        <f>IFERROR(VLOOKUP(C343,'Master Component List'!A:B,2,FALSE),"")</f>
        <v>Microcontroller</v>
      </c>
      <c r="E343" s="11">
        <v>1</v>
      </c>
      <c r="F343" s="9" t="s">
        <v>704</v>
      </c>
      <c r="G343" s="9" t="s">
        <v>201</v>
      </c>
    </row>
    <row r="344" spans="1:7" x14ac:dyDescent="0.25">
      <c r="A344" s="2" t="s">
        <v>15</v>
      </c>
      <c r="B344" s="24" t="str">
        <f>IFERROR(VLOOKUP(C344,'Master Component List'!A:C,3,FALSE),"Other")</f>
        <v>IC</v>
      </c>
      <c r="C344" s="3" t="s">
        <v>205</v>
      </c>
      <c r="D344" s="3" t="str">
        <f>IFERROR(VLOOKUP(C344,'Master Component List'!A:B,2,FALSE),"")</f>
        <v>Interface Circuit, PDSO8</v>
      </c>
      <c r="E344" s="6">
        <v>2</v>
      </c>
      <c r="F344" s="3" t="s">
        <v>767</v>
      </c>
      <c r="G344" s="3" t="s">
        <v>205</v>
      </c>
    </row>
    <row r="345" spans="1:7" x14ac:dyDescent="0.25">
      <c r="A345" s="8" t="s">
        <v>15</v>
      </c>
      <c r="B345" s="25" t="str">
        <f>IFERROR(VLOOKUP(C345,'Master Component List'!A:C,3,FALSE),"Other")</f>
        <v>Inductor</v>
      </c>
      <c r="C345" s="9" t="s">
        <v>211</v>
      </c>
      <c r="D345" s="9" t="str">
        <f>IFERROR(VLOOKUP(C345,'Master Component List'!A:B,2,FALSE),"")</f>
        <v>General Purpose Inductor, 8.2uH, 20%, 1 Element, Powdered  Iron-Core, SMD, 1816</v>
      </c>
      <c r="E345" s="11">
        <v>1</v>
      </c>
      <c r="F345" s="9" t="s">
        <v>528</v>
      </c>
      <c r="G345" s="9" t="s">
        <v>211</v>
      </c>
    </row>
    <row r="346" spans="1:7" x14ac:dyDescent="0.25">
      <c r="A346" s="2" t="s">
        <v>15</v>
      </c>
      <c r="B346" s="26" t="str">
        <f>IFERROR(VLOOKUP(C346,'Master Component List'!A:C,3,FALSE),"Other")</f>
        <v>LED</v>
      </c>
      <c r="C346" s="3" t="s">
        <v>222</v>
      </c>
      <c r="D346" s="3" t="str">
        <f>IFERROR(VLOOKUP(C346,'Master Component List'!A:B,2,FALSE),"")</f>
        <v>Single Color LED, Bright Green, Water Clear, 1.1mm</v>
      </c>
      <c r="E346" s="6">
        <v>10</v>
      </c>
      <c r="F346" s="3" t="s">
        <v>768</v>
      </c>
      <c r="G346" s="3" t="s">
        <v>222</v>
      </c>
    </row>
    <row r="347" spans="1:7" x14ac:dyDescent="0.25">
      <c r="A347" s="8" t="s">
        <v>15</v>
      </c>
      <c r="B347" s="26" t="str">
        <f>IFERROR(VLOOKUP(C347,'Master Component List'!A:C,3,FALSE),"Other")</f>
        <v>LED</v>
      </c>
      <c r="C347" s="9" t="s">
        <v>227</v>
      </c>
      <c r="D347" s="9" t="str">
        <f>IFERROR(VLOOKUP(C347,'Master Component List'!A:B,2,FALSE),"")</f>
        <v>Led, Green, 570 Nm, 2 V, 30 Ma, 40 Mcd Rohs Compliant: Yes</v>
      </c>
      <c r="E347" s="11">
        <v>3</v>
      </c>
      <c r="F347" s="9" t="s">
        <v>769</v>
      </c>
      <c r="G347" s="9" t="s">
        <v>229</v>
      </c>
    </row>
    <row r="348" spans="1:7" x14ac:dyDescent="0.25">
      <c r="A348" s="2" t="s">
        <v>15</v>
      </c>
      <c r="B348" s="26" t="str">
        <f>IFERROR(VLOOKUP(C348,'Master Component List'!A:C,3,FALSE),"Other")</f>
        <v>LED</v>
      </c>
      <c r="C348" s="3" t="s">
        <v>230</v>
      </c>
      <c r="D348" s="3" t="str">
        <f>IFERROR(VLOOKUP(C348,'Master Component List'!A:B,2,FALSE),"")</f>
        <v>LED 0805 RED</v>
      </c>
      <c r="E348" s="6">
        <v>2</v>
      </c>
      <c r="F348" s="3" t="s">
        <v>531</v>
      </c>
      <c r="G348" s="3" t="s">
        <v>231</v>
      </c>
    </row>
    <row r="349" spans="1:7" x14ac:dyDescent="0.25">
      <c r="A349" s="8" t="s">
        <v>15</v>
      </c>
      <c r="B349" s="26" t="str">
        <f>IFERROR(VLOOKUP(C349,'Master Component List'!A:C,3,FALSE),"Other")</f>
        <v>LED</v>
      </c>
      <c r="C349" s="9" t="s">
        <v>238</v>
      </c>
      <c r="D349" s="9" t="str">
        <f>IFERROR(VLOOKUP(C349,'Master Component List'!A:B,2,FALSE),"")</f>
        <v>Smart/Normal 7 Seg Numeric LED Display</v>
      </c>
      <c r="E349" s="11">
        <v>1</v>
      </c>
      <c r="F349" s="9" t="s">
        <v>770</v>
      </c>
      <c r="G349" s="9" t="s">
        <v>238</v>
      </c>
    </row>
    <row r="350" spans="1:7" x14ac:dyDescent="0.25">
      <c r="A350" s="2" t="s">
        <v>15</v>
      </c>
      <c r="B350" s="11" t="str">
        <f>IFERROR(VLOOKUP(C350,'Master Component List'!A:C,3,FALSE),"Other")</f>
        <v>Other</v>
      </c>
      <c r="C350" s="3" t="s">
        <v>260</v>
      </c>
      <c r="D350" s="3" t="str">
        <f>IFERROR(VLOOKUP(C350,'Master Component List'!A:B,2,FALSE),"")</f>
        <v>Power/Signal Relay, 1 Form A, SPST, Momentary, 0.017A (Coil), 12VDC (Coil), 200mW (Coil), 5A (Contact), 30VDC (Contact), DC Input, Random, AC/DC Output, Through Hole-Straight Mount</v>
      </c>
      <c r="E350" s="6">
        <v>1</v>
      </c>
      <c r="F350" s="3" t="s">
        <v>771</v>
      </c>
      <c r="G350" s="3" t="s">
        <v>262</v>
      </c>
    </row>
    <row r="351" spans="1:7" x14ac:dyDescent="0.25">
      <c r="A351" s="8" t="s">
        <v>15</v>
      </c>
      <c r="B351" s="11" t="str">
        <f>IFERROR(VLOOKUP(C351,'Master Component List'!A:C,3,FALSE),"Other")</f>
        <v>Other</v>
      </c>
      <c r="C351" s="9" t="s">
        <v>267</v>
      </c>
      <c r="D351" s="9" t="str">
        <f>IFERROR(VLOOKUP(C351,'Master Component List'!A:B,2,FALSE),"")</f>
        <v>Low Signal Relay 12VDC Coil 8-Blade Terminal 125VAC/DC 2A 2 Poles PCB Mounting DPDT</v>
      </c>
      <c r="E351" s="11">
        <v>1</v>
      </c>
      <c r="F351" s="9" t="s">
        <v>772</v>
      </c>
      <c r="G351" s="9" t="s">
        <v>267</v>
      </c>
    </row>
    <row r="352" spans="1:7" x14ac:dyDescent="0.25">
      <c r="A352" s="2" t="s">
        <v>15</v>
      </c>
      <c r="B352" s="27" t="str">
        <f>IFERROR(VLOOKUP(C352,'Master Component List'!A:C,3,FALSE),"Other")</f>
        <v>Resistor</v>
      </c>
      <c r="C352" s="3" t="s">
        <v>286</v>
      </c>
      <c r="D352" s="3" t="str">
        <f>IFERROR(VLOOKUP(C352,'Master Component List'!A:B,2,FALSE),"")</f>
        <v>100R 1% 0603</v>
      </c>
      <c r="E352" s="6">
        <v>1</v>
      </c>
      <c r="F352" s="3" t="s">
        <v>746</v>
      </c>
      <c r="G352" s="3" t="s">
        <v>287</v>
      </c>
    </row>
    <row r="353" spans="1:7" x14ac:dyDescent="0.25">
      <c r="A353" s="8" t="s">
        <v>15</v>
      </c>
      <c r="B353" s="27" t="str">
        <f>IFERROR(VLOOKUP(C353,'Master Component List'!A:C,3,FALSE),"Other")</f>
        <v>Resistor</v>
      </c>
      <c r="C353" s="9" t="s">
        <v>301</v>
      </c>
      <c r="D353" s="9" t="str">
        <f>IFERROR(VLOOKUP(C353,'Master Component List'!A:B,2,FALSE),"")</f>
        <v>10k 1% 0603 100mW</v>
      </c>
      <c r="E353" s="11">
        <v>1</v>
      </c>
      <c r="F353" s="9" t="s">
        <v>622</v>
      </c>
      <c r="G353" s="9" t="s">
        <v>303</v>
      </c>
    </row>
    <row r="354" spans="1:7" x14ac:dyDescent="0.25">
      <c r="A354" s="2" t="s">
        <v>15</v>
      </c>
      <c r="B354" s="27" t="str">
        <f>IFERROR(VLOOKUP(C354,'Master Component List'!A:C,3,FALSE),"Other")</f>
        <v>Resistor</v>
      </c>
      <c r="C354" s="3" t="s">
        <v>317</v>
      </c>
      <c r="D354" s="3" t="str">
        <f>IFERROR(VLOOKUP(C354,'Master Component List'!A:B,2,FALSE),"")</f>
        <v>150k 1% 0603 250mW</v>
      </c>
      <c r="E354" s="6">
        <v>1</v>
      </c>
      <c r="F354" s="3" t="s">
        <v>541</v>
      </c>
      <c r="G354" s="3" t="s">
        <v>319</v>
      </c>
    </row>
    <row r="355" spans="1:7" x14ac:dyDescent="0.25">
      <c r="A355" s="8" t="s">
        <v>15</v>
      </c>
      <c r="B355" s="27" t="str">
        <f>IFERROR(VLOOKUP(C355,'Master Component List'!A:C,3,FALSE),"Other")</f>
        <v>Resistor</v>
      </c>
      <c r="C355" s="9" t="s">
        <v>337</v>
      </c>
      <c r="D355" s="9" t="str">
        <f>IFERROR(VLOOKUP(C355,'Master Component List'!A:B,2,FALSE),"")</f>
        <v>Res Thick Film 0603 1.5K Ohm 1% 0.1W(1/10W) ±100ppm/C Pad SMD T/R</v>
      </c>
      <c r="E355" s="11">
        <v>1</v>
      </c>
      <c r="F355" s="9" t="s">
        <v>543</v>
      </c>
      <c r="G355" s="9" t="s">
        <v>339</v>
      </c>
    </row>
    <row r="356" spans="1:7" x14ac:dyDescent="0.25">
      <c r="A356" s="2" t="s">
        <v>15</v>
      </c>
      <c r="B356" s="27" t="str">
        <f>IFERROR(VLOOKUP(C356,'Master Component List'!A:C,3,FALSE),"Other")</f>
        <v>Resistor</v>
      </c>
      <c r="C356" s="3" t="s">
        <v>345</v>
      </c>
      <c r="D356" s="3" t="str">
        <f>IFERROR(VLOOKUP(C356,'Master Component List'!A:B,2,FALSE),"")</f>
        <v>20k 1% 0603 0.1 mW</v>
      </c>
      <c r="E356" s="6">
        <v>10</v>
      </c>
      <c r="F356" s="3" t="s">
        <v>773</v>
      </c>
      <c r="G356" s="3" t="s">
        <v>347</v>
      </c>
    </row>
    <row r="357" spans="1:7" x14ac:dyDescent="0.25">
      <c r="A357" s="8" t="s">
        <v>15</v>
      </c>
      <c r="B357" s="27" t="str">
        <f>IFERROR(VLOOKUP(C357,'Master Component List'!A:C,3,FALSE),"Other")</f>
        <v>Resistor</v>
      </c>
      <c r="C357" s="9" t="s">
        <v>348</v>
      </c>
      <c r="D357" s="9" t="str">
        <f>IFERROR(VLOOKUP(C357,'Master Component List'!A:B,2,FALSE),"")</f>
        <v>Fixed Resistor, Metal Glaze/thick Film, 0.1W, 220ohm, 75V, 1% +/-Tol, 100ppm/Cel, Surface Mount, 0603</v>
      </c>
      <c r="E357" s="11">
        <v>8</v>
      </c>
      <c r="F357" s="9" t="s">
        <v>774</v>
      </c>
      <c r="G357" s="9" t="s">
        <v>350</v>
      </c>
    </row>
    <row r="358" spans="1:7" x14ac:dyDescent="0.25">
      <c r="A358" s="2" t="s">
        <v>15</v>
      </c>
      <c r="B358" s="27" t="str">
        <f>IFERROR(VLOOKUP(C358,'Master Component List'!A:C,3,FALSE),"Other")</f>
        <v>Resistor</v>
      </c>
      <c r="C358" s="3" t="s">
        <v>310</v>
      </c>
      <c r="D358" s="3" t="str">
        <f>IFERROR(VLOOKUP(C358,'Master Component List'!A:B,2,FALSE),"")</f>
        <v>Fixed Resistor, Thin Film, 0.1W, 22100ohm, 75V, 0.1% +/-Tol, 25ppm/Cel, Surface Mount, 0603</v>
      </c>
      <c r="E358" s="6">
        <v>1</v>
      </c>
      <c r="F358" s="3" t="s">
        <v>775</v>
      </c>
      <c r="G358" s="3" t="s">
        <v>356</v>
      </c>
    </row>
    <row r="359" spans="1:7" x14ac:dyDescent="0.25">
      <c r="A359" s="8" t="s">
        <v>15</v>
      </c>
      <c r="B359" s="27" t="str">
        <f>IFERROR(VLOOKUP(C359,'Master Component List'!A:C,3,FALSE),"Other")</f>
        <v>Resistor</v>
      </c>
      <c r="C359" s="9" t="s">
        <v>360</v>
      </c>
      <c r="D359" s="9" t="str">
        <f>IFERROR(VLOOKUP(C359,'Master Component List'!A:B,2,FALSE),"")</f>
        <v>240k 1% 0603 250mW</v>
      </c>
      <c r="E359" s="11">
        <v>1</v>
      </c>
      <c r="F359" s="9" t="s">
        <v>545</v>
      </c>
      <c r="G359" s="9" t="s">
        <v>362</v>
      </c>
    </row>
    <row r="360" spans="1:7" x14ac:dyDescent="0.25">
      <c r="A360" s="2" t="s">
        <v>15</v>
      </c>
      <c r="B360" s="27" t="str">
        <f>IFERROR(VLOOKUP(C360,'Master Component List'!A:C,3,FALSE),"Other")</f>
        <v>Resistor</v>
      </c>
      <c r="C360" s="3" t="s">
        <v>366</v>
      </c>
      <c r="D360" s="3" t="str">
        <f>IFERROR(VLOOKUP(C360,'Master Component List'!A:B,2,FALSE),"")</f>
        <v>2M2 1% 0603 250mW</v>
      </c>
      <c r="E360" s="6">
        <v>4</v>
      </c>
      <c r="F360" s="3" t="s">
        <v>776</v>
      </c>
      <c r="G360" s="3" t="s">
        <v>368</v>
      </c>
    </row>
    <row r="361" spans="1:7" x14ac:dyDescent="0.25">
      <c r="A361" s="8" t="s">
        <v>15</v>
      </c>
      <c r="B361" s="27" t="str">
        <f>IFERROR(VLOOKUP(C361,'Master Component List'!A:C,3,FALSE),"Other")</f>
        <v>Resistor</v>
      </c>
      <c r="C361" s="9" t="s">
        <v>372</v>
      </c>
      <c r="D361" s="9" t="str">
        <f>IFERROR(VLOOKUP(C361,'Master Component List'!A:B,2,FALSE),"")</f>
        <v>2k 1% 1206 1/2W</v>
      </c>
      <c r="E361" s="11">
        <v>1</v>
      </c>
      <c r="F361" s="9" t="s">
        <v>747</v>
      </c>
      <c r="G361" s="9" t="s">
        <v>373</v>
      </c>
    </row>
    <row r="362" spans="1:7" x14ac:dyDescent="0.25">
      <c r="A362" s="2" t="s">
        <v>15</v>
      </c>
      <c r="B362" s="27" t="str">
        <f>IFERROR(VLOOKUP(C362,'Master Component List'!A:C,3,FALSE),"Other")</f>
        <v>Resistor</v>
      </c>
      <c r="C362" s="3" t="s">
        <v>377</v>
      </c>
      <c r="D362" s="3" t="str">
        <f>IFERROR(VLOOKUP(C362,'Master Component List'!A:B,2,FALSE),"")</f>
        <v>2k2, 1%, 0603 250mW</v>
      </c>
      <c r="E362" s="6">
        <v>1</v>
      </c>
      <c r="F362" s="3" t="s">
        <v>777</v>
      </c>
      <c r="G362" s="3" t="s">
        <v>379</v>
      </c>
    </row>
    <row r="363" spans="1:7" x14ac:dyDescent="0.25">
      <c r="A363" s="8" t="s">
        <v>15</v>
      </c>
      <c r="B363" s="27" t="str">
        <f>IFERROR(VLOOKUP(C363,'Master Component List'!A:C,3,FALSE),"Other")</f>
        <v>Resistor</v>
      </c>
      <c r="C363" s="9" t="s">
        <v>386</v>
      </c>
      <c r="D363" s="9" t="str">
        <f>IFERROR(VLOOKUP(C363,'Master Component List'!A:B,2,FALSE),"")</f>
        <v>390k 1% 0603 250mW</v>
      </c>
      <c r="E363" s="11">
        <v>1</v>
      </c>
      <c r="F363" s="9" t="s">
        <v>551</v>
      </c>
      <c r="G363" s="9" t="s">
        <v>388</v>
      </c>
    </row>
    <row r="364" spans="1:7" x14ac:dyDescent="0.25">
      <c r="A364" s="2" t="s">
        <v>15</v>
      </c>
      <c r="B364" s="27" t="str">
        <f>IFERROR(VLOOKUP(C364,'Master Component List'!A:C,3,FALSE),"Other")</f>
        <v>Resistor</v>
      </c>
      <c r="C364" s="3" t="s">
        <v>405</v>
      </c>
      <c r="D364" s="3" t="str">
        <f>IFERROR(VLOOKUP(C364,'Master Component List'!A:B,2,FALSE),"")</f>
        <v>4k7 1% 0603</v>
      </c>
      <c r="E364" s="6">
        <v>2</v>
      </c>
      <c r="F364" s="3" t="s">
        <v>778</v>
      </c>
      <c r="G364" s="3" t="s">
        <v>406</v>
      </c>
    </row>
    <row r="365" spans="1:7" x14ac:dyDescent="0.25">
      <c r="A365" s="8" t="s">
        <v>15</v>
      </c>
      <c r="B365" s="27" t="str">
        <f>IFERROR(VLOOKUP(C365,'Master Component List'!A:C,3,FALSE),"Other")</f>
        <v>Resistor</v>
      </c>
      <c r="C365" s="9" t="s">
        <v>420</v>
      </c>
      <c r="D365" s="9" t="str">
        <f>IFERROR(VLOOKUP(C365,'Master Component List'!A:B,2,FALSE),"")</f>
        <v>Res Thin Film 0603 69.8K Ohm 0.1% 0.1W(1/10W) ±25ppm/°C Molded SMD Punched Carrier T/R</v>
      </c>
      <c r="E365" s="11">
        <v>1</v>
      </c>
      <c r="F365" s="9" t="s">
        <v>779</v>
      </c>
      <c r="G365" s="9" t="s">
        <v>423</v>
      </c>
    </row>
    <row r="366" spans="1:7" x14ac:dyDescent="0.25">
      <c r="A366" s="2" t="s">
        <v>15</v>
      </c>
      <c r="B366" s="27" t="str">
        <f>IFERROR(VLOOKUP(C366,'Master Component List'!A:C,3,FALSE),"Other")</f>
        <v>Resistor</v>
      </c>
      <c r="C366" s="3" t="s">
        <v>424</v>
      </c>
      <c r="D366" s="3" t="str">
        <f>IFERROR(VLOOKUP(C366,'Master Component List'!A:B,2,FALSE),"")</f>
        <v>6k2 1% 0603 100mW Thick Film</v>
      </c>
      <c r="E366" s="6">
        <v>2</v>
      </c>
      <c r="F366" s="3" t="s">
        <v>557</v>
      </c>
      <c r="G366" s="3" t="s">
        <v>426</v>
      </c>
    </row>
    <row r="367" spans="1:7" x14ac:dyDescent="0.25">
      <c r="A367" s="8" t="s">
        <v>15</v>
      </c>
      <c r="B367" s="27" t="str">
        <f>IFERROR(VLOOKUP(C367,'Master Component List'!A:C,3,FALSE),"Other")</f>
        <v>Resistor</v>
      </c>
      <c r="C367" s="9" t="s">
        <v>430</v>
      </c>
      <c r="D367" s="9" t="str">
        <f>IFERROR(VLOOKUP(C367,'Master Component List'!A:B,2,FALSE),"")</f>
        <v>7k5 1% 0603 250mW</v>
      </c>
      <c r="E367" s="11">
        <v>2</v>
      </c>
      <c r="F367" s="9" t="s">
        <v>485</v>
      </c>
      <c r="G367" s="9" t="s">
        <v>432</v>
      </c>
    </row>
    <row r="368" spans="1:7" x14ac:dyDescent="0.25">
      <c r="A368" s="2" t="s">
        <v>15</v>
      </c>
      <c r="B368" s="27" t="str">
        <f>IFERROR(VLOOKUP(C368,'Master Component List'!A:C,3,FALSE),"Other")</f>
        <v>Resistor</v>
      </c>
      <c r="C368" s="3" t="s">
        <v>433</v>
      </c>
      <c r="D368" s="3" t="str">
        <f>IFERROR(VLOOKUP(C368,'Master Component List'!A:B,2,FALSE),"")</f>
        <v>82k 1% 0603 250mW</v>
      </c>
      <c r="E368" s="6">
        <v>10</v>
      </c>
      <c r="F368" s="3" t="s">
        <v>780</v>
      </c>
      <c r="G368" s="3" t="s">
        <v>435</v>
      </c>
    </row>
    <row r="369" spans="1:7" x14ac:dyDescent="0.25">
      <c r="A369" s="8" t="s">
        <v>15</v>
      </c>
      <c r="B369" s="27" t="str">
        <f>IFERROR(VLOOKUP(C369,'Master Component List'!A:C,3,FALSE),"Other")</f>
        <v>Resistor</v>
      </c>
      <c r="C369" s="9" t="s">
        <v>436</v>
      </c>
      <c r="D369" s="9" t="str">
        <f>IFERROR(VLOOKUP(C369,'Master Component List'!A:B,2,FALSE),"")</f>
        <v>8k2 1% 0603</v>
      </c>
      <c r="E369" s="11">
        <v>10</v>
      </c>
      <c r="F369" s="9" t="s">
        <v>781</v>
      </c>
      <c r="G369" s="9" t="s">
        <v>437</v>
      </c>
    </row>
    <row r="370" spans="1:7" x14ac:dyDescent="0.25">
      <c r="A370" s="2" t="s">
        <v>15</v>
      </c>
      <c r="B370" s="28" t="str">
        <f>IFERROR(VLOOKUP(C370,'Master Component List'!A:C,3,FALSE),"Other")</f>
        <v>Transistor</v>
      </c>
      <c r="C370" s="3" t="s">
        <v>448</v>
      </c>
      <c r="D370" s="3" t="str">
        <f>IFERROR(VLOOKUP(C370,'Master Component List'!A:B,2,FALSE),"")</f>
        <v>N-Channel 60V 300mA (Ta) 350mW (Ta) Surface Mount SOT-23 (TO-236AB)</v>
      </c>
      <c r="E370" s="6">
        <v>1</v>
      </c>
      <c r="F370" s="3" t="s">
        <v>606</v>
      </c>
      <c r="G370" s="3" t="s">
        <v>452</v>
      </c>
    </row>
  </sheetData>
  <autoFilter ref="A1:G370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Master Component List</vt:lpstr>
      <vt:lpstr>Board Summary</vt:lpstr>
      <vt:lpstr>Raw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Jamie Smith</cp:lastModifiedBy>
  <dcterms:created xsi:type="dcterms:W3CDTF">2026-03-09T06:28:40Z</dcterms:created>
  <dcterms:modified xsi:type="dcterms:W3CDTF">2026-03-09T06:28:56Z</dcterms:modified>
</cp:coreProperties>
</file>